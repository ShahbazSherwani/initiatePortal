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defaultThemeVersion="124226"/>
  <mc:AlternateContent xmlns:mc="http://schemas.openxmlformats.org/markup-compatibility/2006">
    <mc:Choice Requires="x15">
      <x15ac:absPath xmlns:x15ac="http://schemas.microsoft.com/office/spreadsheetml/2010/11/ac" url="/Users/jin/Desktop/final/"/>
    </mc:Choice>
  </mc:AlternateContent>
  <xr:revisionPtr revIDLastSave="0" documentId="13_ncr:1_{790A4B84-DB58-864A-A5C5-BDF25D039A49}" xr6:coauthVersionLast="47" xr6:coauthVersionMax="47" xr10:uidLastSave="{00000000-0000-0000-0000-000000000000}"/>
  <bookViews>
    <workbookView xWindow="0" yWindow="760" windowWidth="29400" windowHeight="17340" xr2:uid="{00000000-000D-0000-FFFF-FFFF00000000}"/>
  </bookViews>
  <sheets>
    <sheet name="BRR" sheetId="7" r:id="rId1"/>
    <sheet name="LER" sheetId="8" r:id="rId2"/>
  </sheets>
  <externalReferences>
    <externalReference r:id="rId3"/>
    <externalReference r:id="rId4"/>
    <externalReference r:id="rId5"/>
    <externalReference r:id="rId6"/>
    <externalReference r:id="rId7"/>
    <externalReference r:id="rId8"/>
  </externalReferences>
  <definedNames>
    <definedName name="_Order1" hidden="1">0</definedName>
    <definedName name="BRR" localSheetId="0">BRR!$E$156</definedName>
    <definedName name="BRR" localSheetId="1">'[1]Revised BRR'!$E$157</definedName>
    <definedName name="BRR">[2]brr!$E$160</definedName>
    <definedName name="DATA_01" localSheetId="0" hidden="1">'[3]Asset depreciation'!$F$2:$F$2</definedName>
    <definedName name="DATA_01" localSheetId="1" hidden="1">'[3]Asset depreciation'!$F$2:$F$2</definedName>
    <definedName name="DATA_01" hidden="1">'[4]Asset depreciation'!$F$2:$F$2</definedName>
    <definedName name="DATA_02" localSheetId="0" hidden="1">'[3]Asset depreciation'!$F$7:$F$10</definedName>
    <definedName name="DATA_02" localSheetId="1" hidden="1">'[3]Asset depreciation'!$F$7:$F$10</definedName>
    <definedName name="DATA_02" hidden="1">'[4]Asset depreciation'!$F$7:$F$10</definedName>
    <definedName name="DATA_03" localSheetId="0" hidden="1">'[3]Asset depreciation'!$B$10</definedName>
    <definedName name="DATA_03" localSheetId="1" hidden="1">'[3]Asset depreciation'!$B$10</definedName>
    <definedName name="DATA_03" hidden="1">'[4]Asset depreciation'!$B$10</definedName>
    <definedName name="DATA_04" localSheetId="0" hidden="1">'[3]Asset depreciation'!$F$15:$F$20</definedName>
    <definedName name="DATA_04" localSheetId="1" hidden="1">'[3]Asset depreciation'!$F$15:$F$20</definedName>
    <definedName name="DATA_04" hidden="1">'[4]Asset depreciation'!$F$15:$F$20</definedName>
    <definedName name="DATA_05" localSheetId="0" hidden="1">'[3]Asset depreciation'!$B$20</definedName>
    <definedName name="DATA_05" localSheetId="1" hidden="1">'[3]Asset depreciation'!$B$20</definedName>
    <definedName name="DATA_05" hidden="1">'[4]Asset depreciation'!$B$20</definedName>
    <definedName name="DATA_06" localSheetId="0" hidden="1">'[3]Asset depreciation'!$F$25:$F$30</definedName>
    <definedName name="DATA_06" localSheetId="1" hidden="1">'[3]Asset depreciation'!$F$25:$F$30</definedName>
    <definedName name="DATA_06" hidden="1">'[4]Asset depreciation'!$F$25:$F$30</definedName>
    <definedName name="DATA_07" localSheetId="0" hidden="1">'[3]Asset depreciation'!$B$30</definedName>
    <definedName name="DATA_07" localSheetId="1" hidden="1">'[3]Asset depreciation'!$B$30</definedName>
    <definedName name="DATA_07" hidden="1">'[4]Asset depreciation'!$B$30</definedName>
    <definedName name="DATA_08" localSheetId="0" hidden="1">'[3]Asset depreciation'!#REF!</definedName>
    <definedName name="DATA_08" localSheetId="1" hidden="1">'[3]Asset depreciation'!#REF!</definedName>
    <definedName name="DATA_08" hidden="1">'[4]Asset depreciation'!#REF!</definedName>
    <definedName name="Excel_BuiltIn__FilterDatabase_2">NA()</definedName>
    <definedName name="Excel_BuiltIn__FilterDatabase_5" localSheetId="0">[5]CIB!#REF!</definedName>
    <definedName name="Excel_BuiltIn__FilterDatabase_5" localSheetId="1">[5]CIB!#REF!</definedName>
    <definedName name="Excel_BuiltIn__FilterDatabase_5">[5]CIB!#REF!</definedName>
    <definedName name="Excel_BuiltIn_Print_Area_1" localSheetId="0">#REF!</definedName>
    <definedName name="Excel_BuiltIn_Print_Area_1" localSheetId="1">#REF!</definedName>
    <definedName name="Excel_BuiltIn_Print_Area_1">#REF!</definedName>
    <definedName name="Excel_BuiltIn_Print_Area_1_1">#REF!</definedName>
    <definedName name="Excel_BuiltIn_Print_Area_1_1_1">NA()</definedName>
    <definedName name="Excel_BuiltIn_Print_Area_1_1_1_1">NA()</definedName>
    <definedName name="Excel_BuiltIn_Print_Area_1_1_1_1_1">#REF!</definedName>
    <definedName name="Excel_BuiltIn_Print_Area_1_1_1_1_1_1">#REF!</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#REF!</definedName>
    <definedName name="Excel_BuiltIn_Print_Area_1_1_1_1_1_1_1_1_1_1_1">#REF!</definedName>
    <definedName name="Excel_BuiltIn_Print_Area_1_1_1_1_1_1_1_1_1_1_1_1">#REF!</definedName>
    <definedName name="Excel_BuiltIn_Print_Area_3">#REF!</definedName>
    <definedName name="Excel_BuiltIn_Print_Titles_1">'[5]NBG Sep09'!$A$1:$L$65536,'[5]NBG Sep09'!$A$1:$IV$7</definedName>
    <definedName name="IntroPrintArea" localSheetId="0" hidden="1">#REF!</definedName>
    <definedName name="IntroPrintArea" localSheetId="1" hidden="1">#REF!</definedName>
    <definedName name="IntroPrintArea" hidden="1">#REF!</definedName>
    <definedName name="LER" localSheetId="0">#REF!</definedName>
    <definedName name="LER" localSheetId="1">LER!$K$40</definedName>
    <definedName name="LER">[2]ler!$K$40</definedName>
    <definedName name="new" hidden="1">'[6]Asset depreciation'!$B$20</definedName>
    <definedName name="_xlnm.Print_Area" localSheetId="0">BRR!$A$1:$E$182</definedName>
    <definedName name="_xlnm.Print_Area" localSheetId="1">LER!$A$1:$K$42</definedName>
    <definedName name="Print_Area_MI" localSheetId="0">#REF!</definedName>
    <definedName name="Print_Area_MI" localSheetId="1">#REF!</definedName>
    <definedName name="Print_Area_MI">#REF!</definedName>
    <definedName name="_xlnm.Print_Titles" localSheetId="0">BRR!$1:$5</definedName>
    <definedName name="SCORE" localSheetId="0">BRR!$E$126</definedName>
    <definedName name="SCORE" localSheetId="1">'[1]Revised BRR'!$E$127</definedName>
    <definedName name="SCORE">#REF!</definedName>
    <definedName name="xxx" hidden="1">'[6]Asset depreciation'!#REF!</definedName>
    <definedName name="xxxxxx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3" i="8" l="1"/>
  <c r="E7" i="8"/>
  <c r="K7" i="8"/>
  <c r="E9" i="8"/>
  <c r="K9" i="8"/>
  <c r="E11" i="8"/>
  <c r="K11" i="8"/>
  <c r="E13" i="8"/>
  <c r="K13" i="8"/>
  <c r="E15" i="8"/>
  <c r="K15" i="8"/>
  <c r="E17" i="8"/>
  <c r="K17" i="8"/>
  <c r="E19" i="8"/>
  <c r="K19" i="8"/>
  <c r="K20" i="8"/>
  <c r="K21" i="8"/>
  <c r="K22" i="8"/>
  <c r="D29" i="8"/>
  <c r="E126" i="7"/>
  <c r="I42" i="8" s="1"/>
  <c r="E132" i="7"/>
  <c r="E133" i="7"/>
  <c r="E134" i="7"/>
  <c r="E135" i="7"/>
  <c r="D136" i="7"/>
  <c r="E138" i="7"/>
  <c r="E139" i="7"/>
  <c r="E140" i="7"/>
  <c r="D141" i="7"/>
  <c r="E143" i="7"/>
  <c r="E144" i="7"/>
  <c r="D145" i="7"/>
  <c r="E147" i="7"/>
  <c r="E148" i="7"/>
  <c r="D149" i="7"/>
  <c r="E152" i="7"/>
  <c r="J29" i="8"/>
  <c r="K25" i="8"/>
  <c r="E29" i="8" l="1"/>
  <c r="D30" i="8" s="1"/>
  <c r="E141" i="7"/>
  <c r="E149" i="7"/>
  <c r="D154" i="7"/>
  <c r="E136" i="7"/>
  <c r="K29" i="8"/>
  <c r="J30" i="8" s="1"/>
  <c r="E145" i="7"/>
  <c r="J39" i="8" l="1"/>
  <c r="E154" i="7"/>
</calcChain>
</file>

<file path=xl/sharedStrings.xml><?xml version="1.0" encoding="utf-8"?>
<sst xmlns="http://schemas.openxmlformats.org/spreadsheetml/2006/main" count="356" uniqueCount="281">
  <si>
    <t xml:space="preserve">Prepared by:  </t>
  </si>
  <si>
    <t xml:space="preserve">Reviewed by: </t>
  </si>
  <si>
    <t xml:space="preserve"> </t>
  </si>
  <si>
    <t>A</t>
  </si>
  <si>
    <t>B</t>
  </si>
  <si>
    <t>C</t>
  </si>
  <si>
    <t>D</t>
  </si>
  <si>
    <t xml:space="preserve">    </t>
  </si>
  <si>
    <t xml:space="preserve">     ANNEX  "A"</t>
  </si>
  <si>
    <t xml:space="preserve">NAME OF BORROWER:      </t>
  </si>
  <si>
    <t>NATURE OF BUSINESS:</t>
  </si>
  <si>
    <t>BORROWER RISK RATING GUIDE</t>
  </si>
  <si>
    <t>FACTORS</t>
  </si>
  <si>
    <t>GENERAL INDICATORS</t>
  </si>
  <si>
    <t>POINTS</t>
  </si>
  <si>
    <t>SCORE</t>
  </si>
  <si>
    <t>I.</t>
  </si>
  <si>
    <t>FINANCIALS</t>
  </si>
  <si>
    <t>a.  PROFITABILITY</t>
  </si>
  <si>
    <t>Very strong and stable upward trend in profitability for the last 3 to 5 years;  Superior</t>
  </si>
  <si>
    <t>5</t>
  </si>
  <si>
    <t xml:space="preserve">   1. Profit Consistency</t>
  </si>
  <si>
    <t>Strong, stable upward trend in profitability for the last 3 to 5 years;   ABOVE AVERAGE</t>
  </si>
  <si>
    <t>4</t>
  </si>
  <si>
    <t xml:space="preserve">Reasonably stable; upward trend in profitability for the last 2-3 years;  AVERAGE </t>
  </si>
  <si>
    <t>3</t>
  </si>
  <si>
    <t>Earnings still realized but on downward trend or realized profit for the immediately preceding year but with losses in the preceding 2 years; AVERAGE</t>
  </si>
  <si>
    <t>2</t>
  </si>
  <si>
    <t>Loss registered in the immediately preceding year per audited FS;   WEAK</t>
  </si>
  <si>
    <t>1</t>
  </si>
  <si>
    <t xml:space="preserve">Sustained losses which have eroded equity base;  VERY WEAK </t>
  </si>
  <si>
    <t>0</t>
  </si>
  <si>
    <t>score</t>
  </si>
  <si>
    <t xml:space="preserve">                                                                                   OTHERS</t>
  </si>
  <si>
    <t xml:space="preserve">    2. Net Income/Sales</t>
  </si>
  <si>
    <t>Over 4%                      Over 8%                                 Over 15%</t>
  </si>
  <si>
    <t xml:space="preserve">         (Net Income Margin)</t>
  </si>
  <si>
    <t>Over 2% - 4%             Over 5% - 8%                        Over 10% - 15%</t>
  </si>
  <si>
    <t>Over 1% - 2%             Over 3% - 5%                        Over 5% - 10%</t>
  </si>
  <si>
    <t>0.5% - 1%                   1.5% - 3%                               2.5% - 5%</t>
  </si>
  <si>
    <t>0.1% - 0.5%                0.1% - 1.5%                            0.1% - 2.5%</t>
  </si>
  <si>
    <t>0.0% &amp; below             0.0% &amp; below                            0.0% &amp; below</t>
  </si>
  <si>
    <t>b.  LIQUIDITY</t>
  </si>
  <si>
    <t xml:space="preserve">     1. (Acid-Test Ratio)</t>
  </si>
  <si>
    <t>Over 2x - 4x             Over 5x - 8x                        Over 10x - 15x</t>
  </si>
  <si>
    <t>Over 1x - 2x             Over 3x - 5x                        Over 5x - 10x</t>
  </si>
  <si>
    <t>Over 0.5x - 1x           Over 1.5x - 3x                    Over 2.5x - 5x</t>
  </si>
  <si>
    <t>Over 0.0x - 0.5x        Over 0.0x - 1.5x                 Over  0.0x - 2.5x</t>
  </si>
  <si>
    <t>0.0x &amp; below             0.0x &amp; below                            0.0x &amp; below</t>
  </si>
  <si>
    <t>2. Ave. Days of Total Inventory</t>
  </si>
  <si>
    <t>TRADING                                                         REAL ESTATE</t>
  </si>
  <si>
    <t xml:space="preserve">(If not applicable to the business of </t>
  </si>
  <si>
    <t>(Non-durable)              MANUFACTURING       TRADING (Durable Goods)</t>
  </si>
  <si>
    <t xml:space="preserve"> the borrower, then default </t>
  </si>
  <si>
    <t>30 days or less            180days and below      365 days and below</t>
  </si>
  <si>
    <t>score is 1 point)</t>
  </si>
  <si>
    <t>31 to 90 days               181 to 365 days           over 365 days</t>
  </si>
  <si>
    <t>91 to 180 days</t>
  </si>
  <si>
    <t>Over 181 days             Over 365 days</t>
  </si>
  <si>
    <t>3. Ave. Days of Collection</t>
  </si>
  <si>
    <t>(Non-durable)              MANUFACTURING       TRADING (Durable Goods)*</t>
  </si>
  <si>
    <t>TRADING               MANUFACTURING           OTHERS</t>
  </si>
  <si>
    <t>c.  CAPITAL ADEQUACY</t>
  </si>
  <si>
    <t xml:space="preserve">Below 0.5x            Below 0.5x             Below 0.5x </t>
  </si>
  <si>
    <t>10</t>
  </si>
  <si>
    <t xml:space="preserve">     (DE Ratio)</t>
  </si>
  <si>
    <t>1.00x - 0.5x            0.86 - 0.5x            0.91 - 0.5x</t>
  </si>
  <si>
    <t>8-9</t>
  </si>
  <si>
    <t>1.01x - 2.00x          0.87x - 1.20x         0.92x - 1.30x</t>
  </si>
  <si>
    <t>6-7</t>
  </si>
  <si>
    <t>2.01x - 4.00x          1.21x - 3.00x         1.31x - 3.10x</t>
  </si>
  <si>
    <t>4-5</t>
  </si>
  <si>
    <t>4.01x - 6.00x          3.01x - 6.00x         3.11x - 6.00x</t>
  </si>
  <si>
    <t>1-3</t>
  </si>
  <si>
    <t>above 6.00x           above 6.00x          above 6.00x</t>
  </si>
  <si>
    <t>d.   Debt Service Coverage Ratio</t>
  </si>
  <si>
    <t>Extremely high debt coverage ratio (over 250%); Can easily withstand price and/or interest changes inclusive of sensitivity analysis for projected financials</t>
  </si>
  <si>
    <t>(For term loan, a sensitivity analysis should be done to determine the vulnerability of the company's debt service capacity)</t>
  </si>
  <si>
    <t>Very high debt coverage ratio (201% up to 250%); Can easily withstand price and/or interest changes inclusive of sensitivity analysis for projected financials</t>
  </si>
  <si>
    <t>(For additional working capital or short term loan, debt service coverage ratio may be for interest cover only)</t>
  </si>
  <si>
    <t>High debt coverage ratio (176% up to 200%); Absords changes in prices and/or interest rates without difficulty</t>
  </si>
  <si>
    <t>Well above average debt coverage ratio (151% up to 1.75%); Has sufficient buffer to absorb changes in prices and/or interest rates</t>
  </si>
  <si>
    <t>Average debt coverage ratio (126% up to 150%); Buffer is enough to cover changes in prices and/or interest rates</t>
  </si>
  <si>
    <t>2-3</t>
  </si>
  <si>
    <t xml:space="preserve"> Below average debt coverage ratio (100% up to 125%); Limited flexibility in absorbing additional cost due to price and/interest rate changes</t>
  </si>
  <si>
    <t xml:space="preserve">Debt service coverage ratio is less than 100% </t>
  </si>
  <si>
    <t>II</t>
  </si>
  <si>
    <t>INDUSTRY/ MARKET</t>
  </si>
  <si>
    <t xml:space="preserve">a.   Market Share  / </t>
  </si>
  <si>
    <t>Market dominant &amp;/or well diversified; Controlling more than 50% share</t>
  </si>
  <si>
    <t xml:space="preserve"> Competitive Position</t>
  </si>
  <si>
    <t>Controlling less than 50% of market share but enjoys the largest share</t>
  </si>
  <si>
    <t>Major player in the industry but is not dominant</t>
  </si>
  <si>
    <t>Minor player in the industry but with growing &amp;/or steady market share</t>
  </si>
  <si>
    <t>Minor player; declining market share; smallest share in the industry</t>
  </si>
  <si>
    <t>Business is just starting / new entrant or major competitor threatens to dominate the entire market;   declining market share for 3 years.</t>
  </si>
  <si>
    <t>b)  Environmental factors</t>
  </si>
  <si>
    <t xml:space="preserve">Impact of  the ff. risks on the borrower: </t>
  </si>
  <si>
    <t>Economic risks;  Political, Regulatory &amp; Military risks (on its sales &amp; net profit);  Social risks (on its market);  Technological risk (on its market &amp; production process);  Life Cycle risk (on its market acceptability &amp; demand)  &amp; Litigation risk:</t>
  </si>
  <si>
    <t>Effects absorbed without difficulty</t>
  </si>
  <si>
    <t>Effects absorbed with very little difficulty</t>
  </si>
  <si>
    <t>Effects absorbed with moderate difficulty</t>
  </si>
  <si>
    <t>Sharp decline in profits but no losses</t>
  </si>
  <si>
    <t>Temporary moderate losses which if not reversed will lead to difficulty in debt repayment</t>
  </si>
  <si>
    <t>Prolonged or massive losses &amp; severe difficulty in debt repayment</t>
  </si>
  <si>
    <t>c)  Industry Viability</t>
  </si>
  <si>
    <t>Each industry is rated based on the ff:</t>
  </si>
  <si>
    <t>(max. 5 points)</t>
  </si>
  <si>
    <t xml:space="preserve">a.  demand for products &amp; services -  </t>
  </si>
  <si>
    <t xml:space="preserve">    - Are the products/ services essential &amp; irreplaceable/ not easily replaceable?   Are these subject to obsolescence?</t>
  </si>
  <si>
    <t>b.  Prices -</t>
  </si>
  <si>
    <t xml:space="preserve">    - Are prices subject to relatively wide fluctuations?  Are prices under government control? Can prices be adjusted without difficulty?</t>
  </si>
  <si>
    <t>c.  importance of the industry to economy</t>
  </si>
  <si>
    <t>d.  outlook of the industry</t>
  </si>
  <si>
    <t>e.  position of product in life cycle</t>
  </si>
  <si>
    <t>III</t>
  </si>
  <si>
    <t>MANAGEMENT/ OWNERSHIP</t>
  </si>
  <si>
    <t>a. Financial/Production/ Marketing Management</t>
  </si>
  <si>
    <t xml:space="preserve">Manifested superior competence in business management as shown in its robust growth of sales/revenues and prompt delivery of goods/services.   </t>
  </si>
  <si>
    <t xml:space="preserve">Business management is satisfactory as manifested in its good sales/revenue and strong demand of goods/services </t>
  </si>
  <si>
    <t>Reputable management but lacking in depth &amp; ability for this particular business;  management control systems are average at the most.</t>
  </si>
  <si>
    <t>Weak business management with continues decline of sales/revenues for past years. Poor demand of products/services</t>
  </si>
  <si>
    <t>0-1</t>
  </si>
  <si>
    <t>b.  Corporate Governance and Human Resource Management</t>
  </si>
  <si>
    <t xml:space="preserve">Exercised a very strong corporate governance and with clear vision and mission for the company; Clear segregation of function, a good succession plan and well established personnel policy is in placed; Employees are contended and well compensated  </t>
  </si>
  <si>
    <t>Showed good corporate governance; although no written policy, segration of function is still observed and a succession plan is in place; Personnel policy not well established however employess are still contented.</t>
  </si>
  <si>
    <t xml:space="preserve">Corporate governance rates fairly. Material changes made in ownership and key personnel with certain conflicts/ friction expected.  ;  one-man show and no management successor.  </t>
  </si>
  <si>
    <t>Poor corporate governance; Company or its key officers or directors are the object of a legal suit that affected company's reputation; Labor strikes affected company performance</t>
  </si>
  <si>
    <t>IV</t>
  </si>
  <si>
    <t>CREDIT DEALINGS</t>
  </si>
  <si>
    <t>a.   Financing Flexibility</t>
  </si>
  <si>
    <t xml:space="preserve">Strong access to the capital markets. Lines mainly with smaller banks with utilisation &lt; 50%.  Lines with major banks are utilised at &gt; 50%. ; 
First time borrowers but account has high debt service coverage ratio based on proposed borrowing    </t>
  </si>
  <si>
    <t>3-4</t>
  </si>
  <si>
    <t>1-2</t>
  </si>
  <si>
    <t>Without credit dealings and debt service coverage ratio is poor.</t>
  </si>
  <si>
    <t>b.   Collection Experience/   CI Checkings</t>
  </si>
  <si>
    <t>13-15</t>
  </si>
  <si>
    <t>(BAP Loandex/ Credit/ NFIS/CMAP checkings)</t>
  </si>
  <si>
    <t>10-12</t>
  </si>
  <si>
    <t>5-7</t>
  </si>
  <si>
    <t>1-4</t>
  </si>
  <si>
    <t xml:space="preserve">Past due with this Bank/ other banks  for over 180 days and/or  verified positive and decided court cases involving the company &amp;/or principal/s (incl.sureties).;  </t>
  </si>
  <si>
    <t>VI.</t>
  </si>
  <si>
    <t>EXISTENCE</t>
  </si>
  <si>
    <t>a.   Ten (10) years and above</t>
  </si>
  <si>
    <t>b.   8 - 9  years</t>
  </si>
  <si>
    <t>c.   6 - 7 years</t>
  </si>
  <si>
    <t>d.   4 - 5 years</t>
  </si>
  <si>
    <t>e.   3 years below</t>
  </si>
  <si>
    <t>f.   Start - up</t>
  </si>
  <si>
    <t>TOTAL SCORE</t>
  </si>
  <si>
    <t>BORROWER RISK RATING-(BRR)  (using Annex A as guide)</t>
  </si>
  <si>
    <t xml:space="preserve">   I.   FINANCIALS </t>
  </si>
  <si>
    <t>MAX. SCORE</t>
  </si>
  <si>
    <t>ACTUAL SCORE</t>
  </si>
  <si>
    <t xml:space="preserve">         a.  Profitability</t>
  </si>
  <si>
    <t xml:space="preserve">         b.  Liquidity</t>
  </si>
  <si>
    <t xml:space="preserve">         c.  Capital Adequacy</t>
  </si>
  <si>
    <t xml:space="preserve">         d.  Debt Service Coverage Ratio</t>
  </si>
  <si>
    <t xml:space="preserve">   II.  INDUSTRY/ MARKET</t>
  </si>
  <si>
    <t xml:space="preserve">         a.  Market share</t>
  </si>
  <si>
    <t xml:space="preserve">         b.  Environmental factors</t>
  </si>
  <si>
    <t xml:space="preserve">         c.  Industry/ viability</t>
  </si>
  <si>
    <t xml:space="preserve">   III.  MANAGEMENT/OWNERSHIP</t>
  </si>
  <si>
    <t xml:space="preserve">         a. Financial, Production &amp; Marketing Management </t>
  </si>
  <si>
    <t xml:space="preserve">         b.  Corporate Governance and Human Resource Management</t>
  </si>
  <si>
    <t xml:space="preserve">    IV. CREDIT DEALINGS </t>
  </si>
  <si>
    <t xml:space="preserve">         a.  Financing Flexibility</t>
  </si>
  <si>
    <t xml:space="preserve">         b.  Collection Experience/ Credit Checkings/ Loandex/NFIS/CMAP</t>
  </si>
  <si>
    <t xml:space="preserve">    VI.  EXISTENCE </t>
  </si>
  <si>
    <t xml:space="preserve">                    TOTAL</t>
  </si>
  <si>
    <t xml:space="preserve">          EQUIVALENT BRR</t>
  </si>
  <si>
    <t>GENERAL DESCRIPTION</t>
  </si>
  <si>
    <t>CREDIT RATING</t>
  </si>
  <si>
    <t>96   -   100</t>
  </si>
  <si>
    <t>Prime</t>
  </si>
  <si>
    <t>AAA</t>
  </si>
  <si>
    <t>91   -    95</t>
  </si>
  <si>
    <t>Very High Grade</t>
  </si>
  <si>
    <t>AA</t>
  </si>
  <si>
    <t>81   -    90</t>
  </si>
  <si>
    <t>High Grade</t>
  </si>
  <si>
    <t>71   -    80</t>
  </si>
  <si>
    <t>High UpperAverage</t>
  </si>
  <si>
    <t>BBB</t>
  </si>
  <si>
    <t>61   -    70</t>
  </si>
  <si>
    <t>Upper Average</t>
  </si>
  <si>
    <t>BB</t>
  </si>
  <si>
    <t>51   -    60</t>
  </si>
  <si>
    <t>Medium Average</t>
  </si>
  <si>
    <t>BB-</t>
  </si>
  <si>
    <t>41   -    50</t>
  </si>
  <si>
    <t>Average</t>
  </si>
  <si>
    <t>31   -    40</t>
  </si>
  <si>
    <t>Low Average</t>
  </si>
  <si>
    <t>B-</t>
  </si>
  <si>
    <t>21   -    30</t>
  </si>
  <si>
    <t>Loan Especially Mentioned</t>
  </si>
  <si>
    <t>CCC</t>
  </si>
  <si>
    <t xml:space="preserve"> 11    -   20</t>
  </si>
  <si>
    <t>Substandard</t>
  </si>
  <si>
    <t>CC</t>
  </si>
  <si>
    <t xml:space="preserve">  1   -    10</t>
  </si>
  <si>
    <t>Doubtful</t>
  </si>
  <si>
    <t xml:space="preserve"> 0</t>
  </si>
  <si>
    <t>Loss</t>
  </si>
  <si>
    <r>
      <t>TRADING                 MANUFACTURING           (INCL.DEVELOPERS</t>
    </r>
    <r>
      <rPr>
        <sz val="8.5"/>
        <rFont val="Arial"/>
        <family val="2"/>
      </rPr>
      <t>)</t>
    </r>
  </si>
  <si>
    <r>
      <t>Sales/revenue have not grown for the past years.</t>
    </r>
    <r>
      <rPr>
        <u/>
        <sz val="8.5"/>
        <rFont val="Arial"/>
        <family val="2"/>
      </rPr>
      <t xml:space="preserve"> </t>
    </r>
    <r>
      <rPr>
        <sz val="8.5"/>
        <rFont val="Arial"/>
        <family val="2"/>
      </rPr>
      <t>Demand of the product is on a decline. In</t>
    </r>
    <r>
      <rPr>
        <sz val="8.5"/>
        <rFont val="Arial"/>
        <family val="2"/>
      </rPr>
      <t>vestment of more than 20% equity into activity not related to its main line of business</t>
    </r>
  </si>
  <si>
    <r>
      <t>Poor business management with increasing negative income</t>
    </r>
    <r>
      <rPr>
        <sz val="8.5"/>
        <rFont val="Arial"/>
        <family val="2"/>
      </rPr>
      <t xml:space="preserve">. Demand of the product/service is dwindling.   </t>
    </r>
  </si>
  <si>
    <r>
      <t>Weak corporate governance</t>
    </r>
    <r>
      <rPr>
        <u/>
        <sz val="8.5"/>
        <rFont val="Arial"/>
        <family val="2"/>
      </rPr>
      <t>;</t>
    </r>
    <r>
      <rPr>
        <sz val="8.5"/>
        <rFont val="Arial"/>
        <family val="2"/>
      </rPr>
      <t xml:space="preserve"> There are conflicts between management &amp; stockholders regarding succession, operating policies, etc.; </t>
    </r>
  </si>
  <si>
    <r>
      <t>BORROWER RISK RATING (BRR)/ CREDIT SCORING TABLE</t>
    </r>
    <r>
      <rPr>
        <u/>
        <sz val="9"/>
        <rFont val="Arial"/>
        <family val="2"/>
      </rPr>
      <t>:</t>
    </r>
  </si>
  <si>
    <t>LOAN EXPOSURE RISK RATING (LER) TABLE</t>
  </si>
  <si>
    <t xml:space="preserve">NAME OF BORROWER: </t>
  </si>
  <si>
    <t>FACILITY RISK (FR) POINTS</t>
  </si>
  <si>
    <t>ACTUAL 
POINTS</t>
  </si>
  <si>
    <t>FACILITY 
AMOUNT</t>
  </si>
  <si>
    <t xml:space="preserve">FACILITY 
AMOUNT </t>
  </si>
  <si>
    <t>FACILITY / TENOR</t>
  </si>
  <si>
    <t>(in PHP M)</t>
  </si>
  <si>
    <t>(a)</t>
  </si>
  <si>
    <t>(b)</t>
  </si>
  <si>
    <t>c= (a x b)</t>
  </si>
  <si>
    <t xml:space="preserve">      </t>
  </si>
  <si>
    <t xml:space="preserve">     </t>
  </si>
  <si>
    <t>sum of (a) to (i) above</t>
  </si>
  <si>
    <t>FACILITY RISK(FR)- weighted ave.= c/b</t>
  </si>
  <si>
    <t>SECURITY RISK (SR)- weighted ave.=c/b</t>
  </si>
  <si>
    <t>LOAN EXPOSURE RATING TABLE</t>
  </si>
  <si>
    <t>NOTES:</t>
  </si>
  <si>
    <t>AVE.OF FR &amp; SR</t>
  </si>
  <si>
    <t>LER</t>
  </si>
  <si>
    <t>GEN. DESCRIPTION</t>
  </si>
  <si>
    <t>Ratings to be used shall be based on the external rating agencies accredited by BSP</t>
  </si>
  <si>
    <t>91   -   100</t>
  </si>
  <si>
    <t>}   LOW RISK</t>
  </si>
  <si>
    <t>*  -  Collateral value is stable or amply cushioned in the case of cross currency</t>
  </si>
  <si>
    <t xml:space="preserve">** -  Banks with rating of "AAA"  </t>
  </si>
  <si>
    <t xml:space="preserve">*** Banks with a rating of "AA - A"  </t>
  </si>
  <si>
    <t>}   MEDIUM RISK</t>
  </si>
  <si>
    <t xml:space="preserve">Ave. of FR + SR </t>
  </si>
  <si>
    <t>0    -   39</t>
  </si>
  <si>
    <t xml:space="preserve">BRR          =  </t>
  </si>
  <si>
    <r>
      <t xml:space="preserve">sum of (a) to (g) above      </t>
    </r>
    <r>
      <rPr>
        <sz val="10"/>
        <rFont val="Arial"/>
        <family val="2"/>
      </rPr>
      <t xml:space="preserve">                                                               </t>
    </r>
  </si>
  <si>
    <r>
      <t>4</t>
    </r>
    <r>
      <rPr>
        <sz val="10"/>
        <rFont val="Arial"/>
        <family val="2"/>
      </rPr>
      <t>0</t>
    </r>
    <r>
      <rPr>
        <sz val="10"/>
        <rFont val="Arial"/>
        <family val="2"/>
      </rPr>
      <t xml:space="preserve">   -    50</t>
    </r>
  </si>
  <si>
    <r>
      <t>LER</t>
    </r>
    <r>
      <rPr>
        <sz val="10"/>
        <rFont val="Arial"/>
        <family val="2"/>
      </rPr>
      <t xml:space="preserve">  (per LER table)</t>
    </r>
  </si>
  <si>
    <r>
      <t xml:space="preserve">Account dealing is generally satisfactory. There may have been a few incidence of delayed payment/s but the account was never past due. No negative checking result. No adverse checking or With positive court case findings but Borrower verified not to be the same company/person involved in these cases &amp; affidavit of denial submitted by client;  </t>
    </r>
    <r>
      <rPr>
        <sz val="9"/>
        <rFont val="Arial"/>
        <family val="2"/>
      </rPr>
      <t xml:space="preserve">    </t>
    </r>
    <r>
      <rPr>
        <sz val="9"/>
        <rFont val="Arial"/>
        <family val="2"/>
      </rPr>
      <t xml:space="preserve">                                                                                                                                                                                                                                                                      </t>
    </r>
  </si>
  <si>
    <t xml:space="preserve">Credit dealings for the past years is very satisfactory. There is no incidence of delayed payments or past due.  No adverse checking or With positive court case findings but Borrower verified not to be the same company/person involved in these cases &amp; affidavit of denial submitted by client;  </t>
  </si>
  <si>
    <r>
      <t xml:space="preserve">With past due loan for 30 days or less
With restructured and performing loan for more than two (2) years with this Bank or with other banks; Exposure is well monitored or mitigated. The failure of that loan will not result to a significant deterioration of the financial stability of the company
For first time borrowers, no credit dealings and adverse findings but account has very high debt service coverage ratio based on proposed borrowing </t>
    </r>
    <r>
      <rPr>
        <i/>
        <sz val="9"/>
        <rFont val="Arial"/>
        <family val="2"/>
      </rPr>
      <t>(refer to I.d. for definition of debt service coverage ratio)</t>
    </r>
  </si>
  <si>
    <r>
      <t xml:space="preserve">With past due loans of more than 30 days up to 90 days
</t>
    </r>
    <r>
      <rPr>
        <u/>
        <sz val="9"/>
        <rFont val="Arial"/>
        <family val="2"/>
      </rPr>
      <t xml:space="preserve">
</t>
    </r>
    <r>
      <rPr>
        <sz val="9"/>
        <rFont val="Arial"/>
        <family val="2"/>
      </rPr>
      <t>With restructured for more than 6 months but less than 2 years;</t>
    </r>
    <r>
      <rPr>
        <sz val="9"/>
        <rFont val="Arial"/>
        <family val="2"/>
      </rPr>
      <t xml:space="preserve"> Loan is not well mitigated and failure of such restructured loan will have significant impact to the financial stability of the company 
No credit dealings but no adverse checkings or  with positive court case findings but Borrower verified not to be the same company/person involved in these cases &amp; affidavit of denial submitted by client; 
</t>
    </r>
    <r>
      <rPr>
        <sz val="9"/>
        <rFont val="Arial"/>
        <family val="2"/>
      </rPr>
      <t>For first time borrowers, no credit dealings and adverse findings but account has high debt service coverage ratio based on proposed borrowing</t>
    </r>
  </si>
  <si>
    <r>
      <t xml:space="preserve">With past due loan for more than 90 days up to 180 days and/or with positive court case findings and case still in progress.
With restructured loan of less than 6 months
</t>
    </r>
    <r>
      <rPr>
        <sz val="9"/>
        <rFont val="Arial"/>
        <family val="2"/>
      </rPr>
      <t>For first time borrowers, no credit dealings and adverse findings but account has average or well above average debt service coverage ratio based on proposed borrowing</t>
    </r>
  </si>
  <si>
    <t>Credit Officer</t>
  </si>
  <si>
    <r>
      <t xml:space="preserve">Very strong access to the capital markets. </t>
    </r>
    <r>
      <rPr>
        <sz val="8.5"/>
        <rFont val="Arial"/>
        <family val="2"/>
      </rPr>
      <t>Sizeable lines with major banks with utilisation &lt; 50%. Considered prime by major banks.</t>
    </r>
    <r>
      <rPr>
        <sz val="8.5"/>
        <rFont val="Arial"/>
        <family val="2"/>
      </rPr>
      <t xml:space="preserve"> 
First time borrowers but account has very high debt service coverage ratio based on proposed borrowing </t>
    </r>
    <r>
      <rPr>
        <i/>
        <sz val="8.5"/>
        <rFont val="Arial"/>
        <family val="2"/>
      </rPr>
      <t>(refer to I.d. for definition of debt service coverage ratio)</t>
    </r>
  </si>
  <si>
    <r>
      <t>Average access to the capital markets.</t>
    </r>
    <r>
      <rPr>
        <sz val="8.5"/>
        <rFont val="Arial"/>
        <family val="2"/>
      </rPr>
      <t xml:space="preserve">Lines are utilized more than 50% on the average.; 
</t>
    </r>
    <r>
      <rPr>
        <sz val="8.5"/>
        <rFont val="Arial"/>
        <family val="2"/>
      </rPr>
      <t>First time borrowers but account has average or above average service coverage ratio based on proposed borrowing</t>
    </r>
  </si>
  <si>
    <t>Noted By:</t>
  </si>
  <si>
    <t>Based on 2016 AFS</t>
  </si>
  <si>
    <r>
      <t>Durable goods are products that do not easily wear out and whose value will not materially deteriorate over time</t>
    </r>
    <r>
      <rPr>
        <b/>
        <i/>
        <sz val="8.5"/>
        <rFont val="Arial Narrow"/>
        <family val="2"/>
      </rPr>
      <t xml:space="preserve"> 105.7days</t>
    </r>
  </si>
  <si>
    <t>5.01X (2017 EBITDA DSC)</t>
  </si>
  <si>
    <t>6+</t>
  </si>
  <si>
    <t xml:space="preserve">     ANNEX  "C"</t>
  </si>
  <si>
    <t>Credit Head</t>
  </si>
  <si>
    <t>Account Manager</t>
  </si>
  <si>
    <t>Marketing Head</t>
  </si>
  <si>
    <t>Low Risk</t>
  </si>
  <si>
    <t>}  HIGH RISK</t>
  </si>
  <si>
    <t>Medium Risk</t>
  </si>
  <si>
    <t>High Risk</t>
  </si>
  <si>
    <t>TRACK RECORD AND PERFORMANCE</t>
  </si>
  <si>
    <t>TRP POINTS</t>
  </si>
  <si>
    <t>a) Multiple successful campaigns + no delays/defaults</t>
  </si>
  <si>
    <t>c)  Completed campaigns with minor delays</t>
  </si>
  <si>
    <t>d) New issuer (no track record)</t>
  </si>
  <si>
    <t xml:space="preserve">b)  1–2 successful campaigns + strong transaction volume
</t>
  </si>
  <si>
    <t>APPROVED BY</t>
  </si>
  <si>
    <t>a)  Tenor of 90 days or less - Transactional, Other short term loan)</t>
  </si>
  <si>
    <t>b)  Tenor of over 90 days to 180 days</t>
  </si>
  <si>
    <t>c)  Tenor of over 180 days to 1 year</t>
  </si>
  <si>
    <t>d)  Tenor of over 1 year up to 2 years</t>
  </si>
  <si>
    <t>e)  Tenor of over 1.5 years up to 3 years</t>
  </si>
  <si>
    <t>f)  Tenor of over 3 years, with  grace period of 1 year or less</t>
  </si>
  <si>
    <t>g)  Tenor of over 4 years, with grace period of over 1 year</t>
  </si>
  <si>
    <t>Campaign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</si>
</sst>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1" formatCode="_(* #,##0_);_(* \(#,##0\);_(* &quot;-&quot;_);_(@_)"/>
    <numFmt numFmtId="43" formatCode="_(* #,##0.00_);_(* \(#,##0.00\);_(* &quot;-&quot;??_);_(@_)"/>
    <numFmt numFmtId="164" formatCode="0_)"/>
    <numFmt numFmtId="165" formatCode="0.00_)"/>
    <numFmt numFmtId="166" formatCode="_(* #,##0.0_);_(* \(#,##0.0\);_(* &quot;-&quot;??_);_(@_)"/>
    <numFmt numFmtId="167" formatCode="_(* #,##0_);_(* \(#,##0\);_(* &quot;-&quot;??_);_(@_)"/>
    <numFmt numFmtId="168" formatCode="_-* #,##0.00_-;\-* #,##0.00_-;_-* \-??_-;_-@_-"/>
    <numFmt numFmtId="169" formatCode="_(* #,##0.00_);_(* \(#,##0.00\);_(* \-??_);_(@_)"/>
    <numFmt numFmtId="170" formatCode="[$-409]dddd\,\ mmmm\ dd\,\ yyyy"/>
    <numFmt numFmtId="171" formatCode="_ * #,##0.00_ ;_ * \-#,##0.00_ ;_ * &quot;-&quot;??_ ;_ @_ "/>
    <numFmt numFmtId="172" formatCode="#,##0.00;\(#,##0.00\)"/>
    <numFmt numFmtId="173" formatCode="_(* #,##0.000_);_(* \(#,##0.000\);_(* &quot;-&quot;??_);_(@_)"/>
    <numFmt numFmtId="174" formatCode="&quot;$&quot;#,##0.00;\(&quot;$&quot;#,##0.00\)"/>
    <numFmt numFmtId="175" formatCode="###0.0%;\(###0.0%\)"/>
    <numFmt numFmtId="176" formatCode="0.0"/>
    <numFmt numFmtId="177" formatCode="0.00&quot;:1&quot;;0.0&quot;:1&quot;"/>
    <numFmt numFmtId="178" formatCode="0.00&quot;:1&quot;;0.0&quot;.1&quot;"/>
    <numFmt numFmtId="179" formatCode="[$-409]d\-mmm\-yy;@"/>
    <numFmt numFmtId="180" formatCode="_(* #,##0.00_);_(* \(#,##0.00\);_(* &quot;-&quot;_);_(@_)"/>
    <numFmt numFmtId="181" formatCode="_(* #,##0.0_);_(* \(#,##0.0\);_(* &quot;-&quot;_);_(@_)"/>
  </numFmts>
  <fonts count="68">
    <font>
      <sz val="12"/>
      <name val="Helv"/>
    </font>
    <font>
      <b/>
      <sz val="10"/>
      <name val="Arial"/>
      <family val="2"/>
    </font>
    <font>
      <sz val="10"/>
      <name val="Arial"/>
      <family val="2"/>
    </font>
    <font>
      <sz val="12"/>
      <name val="Helv"/>
    </font>
    <font>
      <sz val="11"/>
      <color indexed="8"/>
      <name val="Calibri"/>
      <family val="2"/>
    </font>
    <font>
      <b/>
      <sz val="10"/>
      <name val="Arial"/>
      <family val="2"/>
    </font>
    <font>
      <sz val="9"/>
      <name val="Arial"/>
      <family val="2"/>
    </font>
    <font>
      <sz val="11"/>
      <name val="Arial"/>
      <family val="2"/>
    </font>
    <font>
      <b/>
      <sz val="11"/>
      <name val="Arial"/>
      <family val="2"/>
    </font>
    <font>
      <sz val="8"/>
      <color indexed="8"/>
      <name val="JaguarJC"/>
    </font>
    <font>
      <sz val="10"/>
      <color indexed="0"/>
      <name val="Arial"/>
      <family val="2"/>
    </font>
    <font>
      <sz val="8"/>
      <name val="Arial"/>
      <family val="2"/>
    </font>
    <font>
      <u/>
      <sz val="10"/>
      <color indexed="12"/>
      <name val="Arial"/>
      <family val="2"/>
    </font>
    <font>
      <b/>
      <i/>
      <sz val="16"/>
      <name val="Helv"/>
    </font>
    <font>
      <sz val="10"/>
      <color indexed="8"/>
      <name val="Arial"/>
      <family val="2"/>
    </font>
    <font>
      <b/>
      <i/>
      <sz val="11"/>
      <color indexed="4"/>
      <name val="Arial"/>
      <family val="2"/>
    </font>
    <font>
      <b/>
      <sz val="10"/>
      <color indexed="0"/>
      <name val="Arial"/>
      <family val="2"/>
    </font>
    <font>
      <b/>
      <i/>
      <sz val="12"/>
      <color indexed="4"/>
      <name val="Arial"/>
      <family val="2"/>
    </font>
    <font>
      <i/>
      <sz val="10"/>
      <color indexed="0"/>
      <name val="Arial"/>
      <family val="2"/>
    </font>
    <font>
      <b/>
      <i/>
      <sz val="10"/>
      <color indexed="0"/>
      <name val="Arial"/>
      <family val="2"/>
    </font>
    <font>
      <b/>
      <i/>
      <sz val="11"/>
      <color indexed="0"/>
      <name val="Arial"/>
      <family val="2"/>
    </font>
    <font>
      <b/>
      <i/>
      <sz val="10"/>
      <name val="Arial"/>
      <family val="2"/>
    </font>
    <font>
      <i/>
      <sz val="10"/>
      <name val="Arial"/>
      <family val="2"/>
    </font>
    <font>
      <u/>
      <sz val="10"/>
      <name val="Arial"/>
      <family val="2"/>
    </font>
    <font>
      <b/>
      <sz val="9"/>
      <name val="Arial"/>
      <family val="2"/>
    </font>
    <font>
      <b/>
      <sz val="14"/>
      <name val="Arial"/>
      <family val="2"/>
    </font>
    <font>
      <sz val="10"/>
      <name val="Arial"/>
      <family val="2"/>
    </font>
    <font>
      <sz val="11"/>
      <name val="Arial"/>
      <family val="2"/>
    </font>
    <font>
      <sz val="8"/>
      <name val="Arial"/>
      <family val="2"/>
    </font>
    <font>
      <sz val="8.5"/>
      <name val="Arial"/>
      <family val="2"/>
    </font>
    <font>
      <b/>
      <sz val="8.5"/>
      <name val="Arial"/>
      <family val="2"/>
    </font>
    <font>
      <sz val="8.5"/>
      <color indexed="8"/>
      <name val="Arial"/>
      <family val="2"/>
    </font>
    <font>
      <sz val="9"/>
      <name val="Arial"/>
      <family val="2"/>
    </font>
    <font>
      <b/>
      <i/>
      <sz val="8.5"/>
      <name val="Arial"/>
      <family val="2"/>
    </font>
    <font>
      <b/>
      <sz val="8.5"/>
      <color indexed="8"/>
      <name val="Arial"/>
      <family val="2"/>
    </font>
    <font>
      <sz val="8.5"/>
      <name val="Arial"/>
      <family val="2"/>
    </font>
    <font>
      <b/>
      <i/>
      <sz val="8.5"/>
      <name val="Arial"/>
      <family val="2"/>
    </font>
    <font>
      <u/>
      <sz val="8.5"/>
      <name val="Arial"/>
      <family val="2"/>
    </font>
    <font>
      <b/>
      <sz val="8.5"/>
      <name val="Arial"/>
      <family val="2"/>
    </font>
    <font>
      <sz val="8.5"/>
      <name val="Arial Narrow"/>
      <family val="2"/>
    </font>
    <font>
      <i/>
      <sz val="8.5"/>
      <name val="Arial Narrow"/>
      <family val="2"/>
    </font>
    <font>
      <b/>
      <sz val="8.5"/>
      <name val="Arial Narrow"/>
      <family val="2"/>
    </font>
    <font>
      <i/>
      <sz val="8.5"/>
      <name val="Arial"/>
      <family val="2"/>
    </font>
    <font>
      <b/>
      <sz val="9"/>
      <name val="Arial"/>
      <family val="2"/>
    </font>
    <font>
      <sz val="9"/>
      <color indexed="8"/>
      <name val="Arial"/>
      <family val="2"/>
    </font>
    <font>
      <b/>
      <i/>
      <sz val="9"/>
      <name val="Arial"/>
      <family val="2"/>
    </font>
    <font>
      <b/>
      <sz val="9"/>
      <color indexed="8"/>
      <name val="Arial"/>
      <family val="2"/>
    </font>
    <font>
      <b/>
      <sz val="10"/>
      <name val="Tahoma"/>
      <family val="2"/>
    </font>
    <font>
      <i/>
      <sz val="9"/>
      <name val="Arial"/>
      <family val="2"/>
    </font>
    <font>
      <u/>
      <sz val="9"/>
      <name val="Arial"/>
      <family val="2"/>
    </font>
    <font>
      <b/>
      <u/>
      <sz val="9"/>
      <name val="Arial"/>
      <family val="2"/>
    </font>
    <font>
      <i/>
      <sz val="9"/>
      <name val="Arial"/>
      <family val="2"/>
    </font>
    <font>
      <i/>
      <sz val="9"/>
      <color indexed="8"/>
      <name val="Arial"/>
      <family val="2"/>
    </font>
    <font>
      <sz val="10"/>
      <name val="Courier"/>
      <family val="3"/>
    </font>
    <font>
      <b/>
      <sz val="10"/>
      <name val="Arial Narrow"/>
      <family val="2"/>
    </font>
    <font>
      <u val="singleAccounting"/>
      <sz val="10"/>
      <name val="Arial"/>
      <family val="2"/>
    </font>
    <font>
      <u val="singleAccounting"/>
      <sz val="11"/>
      <name val="Arial"/>
      <family val="2"/>
    </font>
    <font>
      <sz val="11"/>
      <color indexed="10"/>
      <name val="Arial"/>
      <family val="2"/>
    </font>
    <font>
      <b/>
      <i/>
      <u/>
      <sz val="10"/>
      <name val="Arial"/>
      <family val="2"/>
    </font>
    <font>
      <b/>
      <i/>
      <sz val="11"/>
      <name val="Arial"/>
      <family val="2"/>
    </font>
    <font>
      <b/>
      <u val="doubleAccounting"/>
      <sz val="11"/>
      <name val="Arial"/>
      <family val="2"/>
    </font>
    <font>
      <b/>
      <u val="double"/>
      <sz val="11"/>
      <name val="Arial"/>
      <family val="2"/>
    </font>
    <font>
      <sz val="11"/>
      <color indexed="8"/>
      <name val="Arial"/>
      <family val="2"/>
    </font>
    <font>
      <b/>
      <sz val="11"/>
      <color indexed="8"/>
      <name val="Arial"/>
      <family val="2"/>
    </font>
    <font>
      <sz val="10"/>
      <color indexed="8"/>
      <name val="Arial"/>
      <family val="2"/>
    </font>
    <font>
      <b/>
      <i/>
      <sz val="8.5"/>
      <name val="Arial Narrow"/>
      <family val="2"/>
    </font>
    <font>
      <sz val="11"/>
      <color theme="1"/>
      <name val="Calibri"/>
      <family val="2"/>
      <scheme val="minor"/>
    </font>
    <font>
      <sz val="11"/>
      <name val="Calibri"/>
      <family val="2"/>
    </font>
  </fonts>
  <fills count="13">
    <fill>
      <patternFill patternType="none"/>
    </fill>
    <fill>
      <patternFill patternType="gray125"/>
    </fill>
    <fill>
      <patternFill patternType="solid">
        <fgColor indexed="22"/>
        <bgColor indexed="31"/>
      </patternFill>
    </fill>
    <fill>
      <patternFill patternType="solid">
        <fgColor indexed="26"/>
        <bgColor indexed="9"/>
      </patternFill>
    </fill>
    <fill>
      <patternFill patternType="solid">
        <fgColor indexed="8"/>
      </patternFill>
    </fill>
    <fill>
      <patternFill patternType="solid">
        <fgColor indexed="9"/>
        <bgColor indexed="64"/>
      </patternFill>
    </fill>
    <fill>
      <patternFill patternType="solid">
        <fgColor indexed="13"/>
        <bgColor indexed="64"/>
      </patternFill>
    </fill>
    <fill>
      <patternFill patternType="solid">
        <fgColor indexed="26"/>
        <bgColor indexed="64"/>
      </patternFill>
    </fill>
    <fill>
      <patternFill patternType="solid">
        <fgColor indexed="41"/>
        <bgColor indexed="64"/>
      </patternFill>
    </fill>
    <fill>
      <patternFill patternType="solid">
        <fgColor indexed="43"/>
        <bgColor indexed="64"/>
      </patternFill>
    </fill>
    <fill>
      <patternFill patternType="solid">
        <fgColor indexed="22"/>
        <bgColor indexed="64"/>
      </patternFill>
    </fill>
    <fill>
      <patternFill patternType="solid">
        <fgColor rgb="FFFFFF00"/>
        <bgColor indexed="64"/>
      </patternFill>
    </fill>
    <fill>
      <patternFill patternType="solid">
        <fgColor theme="0"/>
        <bgColor indexed="64"/>
      </patternFill>
    </fill>
  </fills>
  <borders count="67">
    <border>
      <left/>
      <right/>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top/>
      <bottom style="medium">
        <color indexed="64"/>
      </bottom>
      <diagonal/>
    </border>
    <border>
      <left style="thin">
        <color indexed="64"/>
      </left>
      <right/>
      <top style="medium">
        <color indexed="64"/>
      </top>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ck">
        <color indexed="64"/>
      </left>
      <right style="medium">
        <color indexed="64"/>
      </right>
      <top style="thick">
        <color indexed="64"/>
      </top>
      <bottom style="medium">
        <color indexed="64"/>
      </bottom>
      <diagonal/>
    </border>
    <border>
      <left/>
      <right/>
      <top style="medium">
        <color indexed="64"/>
      </top>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bottom style="double">
        <color indexed="64"/>
      </bottom>
      <diagonal/>
    </border>
    <border>
      <left/>
      <right style="medium">
        <color indexed="64"/>
      </right>
      <top/>
      <bottom style="double">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double">
        <color indexed="64"/>
      </left>
      <right/>
      <top/>
      <bottom/>
      <diagonal/>
    </border>
    <border>
      <left style="thin">
        <color indexed="64"/>
      </left>
      <right style="double">
        <color indexed="64"/>
      </right>
      <top/>
      <bottom/>
      <diagonal/>
    </border>
    <border>
      <left/>
      <right style="double">
        <color indexed="64"/>
      </right>
      <top/>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diagonal/>
    </border>
    <border>
      <left style="double">
        <color indexed="64"/>
      </left>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style="double">
        <color indexed="64"/>
      </left>
      <right/>
      <top/>
      <bottom style="medium">
        <color indexed="64"/>
      </bottom>
      <diagonal/>
    </border>
    <border>
      <left style="medium">
        <color indexed="64"/>
      </left>
      <right style="double">
        <color indexed="64"/>
      </right>
      <top/>
      <bottom style="medium">
        <color indexed="64"/>
      </bottom>
      <diagonal/>
    </border>
    <border>
      <left style="medium">
        <color indexed="64"/>
      </left>
      <right style="medium">
        <color indexed="64"/>
      </right>
      <top/>
      <bottom style="hair">
        <color indexed="64"/>
      </bottom>
      <diagonal/>
    </border>
    <border>
      <left/>
      <right style="medium">
        <color indexed="64"/>
      </right>
      <top style="medium">
        <color indexed="64"/>
      </top>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medium">
        <color indexed="64"/>
      </right>
      <top style="medium">
        <color indexed="64"/>
      </top>
      <bottom/>
      <diagonal/>
    </border>
    <border>
      <left/>
      <right/>
      <top style="thin">
        <color indexed="64"/>
      </top>
      <bottom/>
      <diagonal/>
    </border>
    <border>
      <left/>
      <right style="double">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65">
    <xf numFmtId="164" fontId="0"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8" fontId="4" fillId="0" borderId="0" applyFill="0" applyBorder="0" applyAlignment="0" applyProtection="0"/>
    <xf numFmtId="169" fontId="4" fillId="0" borderId="0" applyFill="0" applyBorder="0" applyAlignment="0" applyProtection="0"/>
    <xf numFmtId="168" fontId="4" fillId="0" borderId="0" applyFill="0" applyBorder="0" applyAlignment="0" applyProtection="0"/>
    <xf numFmtId="43" fontId="2" fillId="0" borderId="0" applyFont="0" applyFill="0" applyBorder="0" applyAlignment="0" applyProtection="0"/>
    <xf numFmtId="170" fontId="4" fillId="0" borderId="0" applyFill="0" applyBorder="0" applyAlignment="0" applyProtection="0"/>
    <xf numFmtId="17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72" fontId="2" fillId="0" borderId="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4" fillId="0" borderId="0" applyFont="0" applyFill="0" applyBorder="0" applyAlignment="0" applyProtection="0"/>
    <xf numFmtId="173" fontId="2" fillId="0" borderId="0" applyFont="0" applyFill="0" applyBorder="0" applyAlignment="0" applyProtection="0"/>
    <xf numFmtId="172" fontId="10" fillId="0" borderId="0"/>
    <xf numFmtId="174" fontId="10" fillId="0" borderId="0"/>
    <xf numFmtId="175" fontId="10" fillId="0" borderId="0"/>
    <xf numFmtId="0" fontId="11" fillId="2" borderId="0" applyNumberFormat="0" applyBorder="0" applyAlignment="0" applyProtection="0"/>
    <xf numFmtId="0" fontId="12" fillId="0" borderId="0" applyNumberFormat="0" applyFill="0" applyBorder="0" applyAlignment="0" applyProtection="0">
      <alignment vertical="top"/>
      <protection locked="0"/>
    </xf>
    <xf numFmtId="0" fontId="11" fillId="3" borderId="0" applyNumberFormat="0" applyBorder="0" applyAlignment="0" applyProtection="0"/>
    <xf numFmtId="165" fontId="13" fillId="0" borderId="0"/>
    <xf numFmtId="164" fontId="3" fillId="0" borderId="0"/>
    <xf numFmtId="0" fontId="2" fillId="0" borderId="0"/>
    <xf numFmtId="0" fontId="2" fillId="0" borderId="0"/>
    <xf numFmtId="0" fontId="4" fillId="0" borderId="0"/>
    <xf numFmtId="0" fontId="2" fillId="0" borderId="0"/>
    <xf numFmtId="0" fontId="4" fillId="0" borderId="0"/>
    <xf numFmtId="0" fontId="14" fillId="0" borderId="0"/>
    <xf numFmtId="0" fontId="11" fillId="0" borderId="0" applyAlignment="0">
      <alignment vertical="top" wrapText="1"/>
      <protection locked="0"/>
    </xf>
    <xf numFmtId="0" fontId="2" fillId="0" borderId="0"/>
    <xf numFmtId="0" fontId="66" fillId="0" borderId="0"/>
    <xf numFmtId="0" fontId="2" fillId="0" borderId="0"/>
    <xf numFmtId="0" fontId="4" fillId="0" borderId="0"/>
    <xf numFmtId="0" fontId="2" fillId="0" borderId="0"/>
    <xf numFmtId="0" fontId="26" fillId="0" borderId="0"/>
    <xf numFmtId="0" fontId="27" fillId="0" borderId="0"/>
    <xf numFmtId="0" fontId="2" fillId="0" borderId="0"/>
    <xf numFmtId="165" fontId="53" fillId="0" borderId="0"/>
    <xf numFmtId="0" fontId="27" fillId="0" borderId="0"/>
    <xf numFmtId="10" fontId="2"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4" fillId="0" borderId="0" applyFont="0" applyFill="0" applyBorder="0" applyAlignment="0" applyProtection="0"/>
    <xf numFmtId="9" fontId="2" fillId="0" borderId="0" applyFont="0" applyFill="0" applyBorder="0" applyAlignment="0" applyProtection="0"/>
    <xf numFmtId="0" fontId="10" fillId="0" borderId="0"/>
    <xf numFmtId="0" fontId="15" fillId="0" borderId="0"/>
    <xf numFmtId="0" fontId="16" fillId="0" borderId="0"/>
    <xf numFmtId="0" fontId="17" fillId="0" borderId="0"/>
    <xf numFmtId="0" fontId="18" fillId="0" borderId="0"/>
    <xf numFmtId="0" fontId="19" fillId="4" borderId="0"/>
    <xf numFmtId="0" fontId="10" fillId="0" borderId="0"/>
    <xf numFmtId="0" fontId="20" fillId="0" borderId="0"/>
  </cellStyleXfs>
  <cellXfs count="359">
    <xf numFmtId="164" fontId="0" fillId="0" borderId="0" xfId="0"/>
    <xf numFmtId="0" fontId="29" fillId="0" borderId="0" xfId="41" applyFont="1"/>
    <xf numFmtId="0" fontId="30" fillId="0" borderId="4" xfId="41" applyFont="1" applyBorder="1"/>
    <xf numFmtId="0" fontId="31" fillId="0" borderId="5" xfId="41" applyFont="1" applyBorder="1" applyAlignment="1">
      <alignment horizontal="center"/>
    </xf>
    <xf numFmtId="0" fontId="32" fillId="0" borderId="0" xfId="41" applyFont="1"/>
    <xf numFmtId="0" fontId="30" fillId="0" borderId="0" xfId="41" applyFont="1"/>
    <xf numFmtId="0" fontId="31" fillId="0" borderId="0" xfId="41" applyFont="1" applyAlignment="1">
      <alignment horizontal="center"/>
    </xf>
    <xf numFmtId="0" fontId="30" fillId="0" borderId="0" xfId="41" applyFont="1" applyAlignment="1">
      <alignment horizontal="center"/>
    </xf>
    <xf numFmtId="0" fontId="34" fillId="0" borderId="0" xfId="41" applyFont="1" applyAlignment="1">
      <alignment horizontal="center"/>
    </xf>
    <xf numFmtId="0" fontId="29" fillId="0" borderId="4" xfId="41" applyFont="1" applyBorder="1"/>
    <xf numFmtId="0" fontId="30" fillId="0" borderId="5" xfId="41" applyFont="1" applyBorder="1" applyAlignment="1">
      <alignment horizontal="center"/>
    </xf>
    <xf numFmtId="0" fontId="30" fillId="0" borderId="7" xfId="41" applyFont="1" applyBorder="1" applyAlignment="1">
      <alignment horizontal="center"/>
    </xf>
    <xf numFmtId="0" fontId="34" fillId="0" borderId="7" xfId="41" applyFont="1" applyBorder="1" applyAlignment="1">
      <alignment horizontal="center"/>
    </xf>
    <xf numFmtId="0" fontId="30" fillId="0" borderId="2" xfId="41" applyFont="1" applyBorder="1"/>
    <xf numFmtId="0" fontId="30" fillId="0" borderId="8" xfId="41" applyFont="1" applyBorder="1" applyAlignment="1">
      <alignment horizontal="left"/>
    </xf>
    <xf numFmtId="0" fontId="30" fillId="0" borderId="8" xfId="41" applyFont="1" applyBorder="1" applyAlignment="1">
      <alignment horizontal="center"/>
    </xf>
    <xf numFmtId="0" fontId="34" fillId="0" borderId="3" xfId="41" applyFont="1" applyBorder="1" applyAlignment="1">
      <alignment horizontal="center"/>
    </xf>
    <xf numFmtId="0" fontId="29" fillId="0" borderId="2" xfId="41" applyFont="1" applyBorder="1"/>
    <xf numFmtId="0" fontId="29" fillId="0" borderId="8" xfId="41" applyFont="1" applyBorder="1"/>
    <xf numFmtId="0" fontId="29" fillId="0" borderId="9" xfId="41" applyFont="1" applyBorder="1" applyAlignment="1">
      <alignment wrapText="1"/>
    </xf>
    <xf numFmtId="49" fontId="29" fillId="0" borderId="9" xfId="41" applyNumberFormat="1" applyFont="1" applyBorder="1" applyAlignment="1">
      <alignment horizontal="center" vertical="top"/>
    </xf>
    <xf numFmtId="0" fontId="31" fillId="0" borderId="3" xfId="41" applyFont="1" applyBorder="1" applyAlignment="1">
      <alignment horizontal="center"/>
    </xf>
    <xf numFmtId="0" fontId="29" fillId="0" borderId="8" xfId="41" applyFont="1" applyBorder="1" applyAlignment="1">
      <alignment vertical="top"/>
    </xf>
    <xf numFmtId="0" fontId="35" fillId="0" borderId="9" xfId="41" applyFont="1" applyBorder="1" applyAlignment="1">
      <alignment wrapText="1"/>
    </xf>
    <xf numFmtId="0" fontId="29" fillId="0" borderId="10" xfId="41" applyFont="1" applyBorder="1"/>
    <xf numFmtId="0" fontId="36" fillId="0" borderId="11" xfId="41" applyFont="1" applyBorder="1" applyAlignment="1">
      <alignment horizontal="right"/>
    </xf>
    <xf numFmtId="0" fontId="29" fillId="0" borderId="1" xfId="41" applyFont="1" applyBorder="1" applyAlignment="1">
      <alignment wrapText="1"/>
    </xf>
    <xf numFmtId="0" fontId="29" fillId="0" borderId="12" xfId="41" quotePrefix="1" applyFont="1" applyBorder="1" applyAlignment="1">
      <alignment horizontal="center"/>
    </xf>
    <xf numFmtId="0" fontId="34" fillId="6" borderId="13" xfId="41" applyFont="1" applyFill="1" applyBorder="1" applyAlignment="1">
      <alignment horizontal="center"/>
    </xf>
    <xf numFmtId="0" fontId="29" fillId="0" borderId="9" xfId="41" applyFont="1" applyBorder="1"/>
    <xf numFmtId="0" fontId="29" fillId="0" borderId="9" xfId="41" applyFont="1" applyBorder="1" applyAlignment="1">
      <alignment horizontal="center"/>
    </xf>
    <xf numFmtId="0" fontId="37" fillId="0" borderId="9" xfId="41" applyFont="1" applyBorder="1"/>
    <xf numFmtId="49" fontId="29" fillId="0" borderId="9" xfId="41" applyNumberFormat="1" applyFont="1" applyBorder="1" applyAlignment="1">
      <alignment horizontal="center"/>
    </xf>
    <xf numFmtId="10" fontId="38" fillId="0" borderId="8" xfId="41" applyNumberFormat="1" applyFont="1" applyBorder="1" applyAlignment="1">
      <alignment horizontal="center"/>
    </xf>
    <xf numFmtId="0" fontId="29" fillId="0" borderId="14" xfId="41" applyFont="1" applyBorder="1"/>
    <xf numFmtId="0" fontId="36" fillId="0" borderId="15" xfId="41" applyFont="1" applyBorder="1" applyAlignment="1">
      <alignment horizontal="right"/>
    </xf>
    <xf numFmtId="0" fontId="29" fillId="0" borderId="16" xfId="41" applyFont="1" applyBorder="1"/>
    <xf numFmtId="0" fontId="29" fillId="0" borderId="16" xfId="41" applyFont="1" applyBorder="1" applyAlignment="1">
      <alignment horizontal="center"/>
    </xf>
    <xf numFmtId="0" fontId="34" fillId="6" borderId="17" xfId="41" applyFont="1" applyFill="1" applyBorder="1" applyAlignment="1">
      <alignment horizontal="center"/>
    </xf>
    <xf numFmtId="0" fontId="29" fillId="0" borderId="12" xfId="41" applyFont="1" applyBorder="1"/>
    <xf numFmtId="0" fontId="29" fillId="0" borderId="12" xfId="41" applyFont="1" applyBorder="1" applyAlignment="1">
      <alignment horizontal="center"/>
    </xf>
    <xf numFmtId="0" fontId="38" fillId="0" borderId="8" xfId="41" applyFont="1" applyBorder="1" applyAlignment="1">
      <alignment horizontal="center"/>
    </xf>
    <xf numFmtId="49" fontId="29" fillId="0" borderId="16" xfId="41" applyNumberFormat="1" applyFont="1" applyBorder="1" applyAlignment="1">
      <alignment horizontal="center"/>
    </xf>
    <xf numFmtId="0" fontId="29" fillId="0" borderId="18" xfId="41" applyFont="1" applyBorder="1"/>
    <xf numFmtId="0" fontId="39" fillId="0" borderId="8" xfId="41" applyFont="1" applyBorder="1"/>
    <xf numFmtId="0" fontId="29" fillId="0" borderId="19" xfId="41" applyFont="1" applyBorder="1" applyAlignment="1">
      <alignment horizontal="center"/>
    </xf>
    <xf numFmtId="0" fontId="38" fillId="0" borderId="6" xfId="41" applyFont="1" applyBorder="1" applyAlignment="1">
      <alignment horizontal="center"/>
    </xf>
    <xf numFmtId="0" fontId="29" fillId="0" borderId="18" xfId="41" applyFont="1" applyBorder="1" applyAlignment="1">
      <alignment horizontal="center"/>
    </xf>
    <xf numFmtId="0" fontId="41" fillId="0" borderId="8" xfId="41" applyFont="1" applyBorder="1" applyAlignment="1">
      <alignment horizontal="center"/>
    </xf>
    <xf numFmtId="1" fontId="41" fillId="0" borderId="8" xfId="41" applyNumberFormat="1" applyFont="1" applyBorder="1" applyAlignment="1">
      <alignment horizontal="center"/>
    </xf>
    <xf numFmtId="0" fontId="29" fillId="0" borderId="6" xfId="41" applyFont="1" applyBorder="1"/>
    <xf numFmtId="0" fontId="37" fillId="0" borderId="0" xfId="41" applyFont="1"/>
    <xf numFmtId="0" fontId="31" fillId="0" borderId="20" xfId="41" applyFont="1" applyBorder="1" applyAlignment="1">
      <alignment horizontal="center"/>
    </xf>
    <xf numFmtId="49" fontId="29" fillId="0" borderId="9" xfId="41" quotePrefix="1" applyNumberFormat="1" applyFont="1" applyBorder="1" applyAlignment="1">
      <alignment horizontal="center"/>
    </xf>
    <xf numFmtId="177" fontId="38" fillId="0" borderId="8" xfId="41" applyNumberFormat="1" applyFont="1" applyBorder="1" applyAlignment="1">
      <alignment horizontal="center"/>
    </xf>
    <xf numFmtId="0" fontId="29" fillId="0" borderId="18" xfId="41" quotePrefix="1" applyFont="1" applyBorder="1" applyAlignment="1">
      <alignment horizontal="center"/>
    </xf>
    <xf numFmtId="0" fontId="34" fillId="6" borderId="21" xfId="41" applyFont="1" applyFill="1" applyBorder="1" applyAlignment="1">
      <alignment horizontal="center"/>
    </xf>
    <xf numFmtId="0" fontId="29" fillId="0" borderId="22" xfId="41" applyFont="1" applyBorder="1"/>
    <xf numFmtId="0" fontId="29" fillId="0" borderId="23" xfId="41" applyFont="1" applyBorder="1" applyAlignment="1">
      <alignment wrapText="1"/>
    </xf>
    <xf numFmtId="0" fontId="29" fillId="0" borderId="24" xfId="41" applyFont="1" applyBorder="1" applyAlignment="1">
      <alignment vertical="top" wrapText="1"/>
    </xf>
    <xf numFmtId="49" fontId="29" fillId="0" borderId="24" xfId="41" applyNumberFormat="1" applyFont="1" applyBorder="1" applyAlignment="1">
      <alignment horizontal="center" vertical="top"/>
    </xf>
    <xf numFmtId="0" fontId="31" fillId="0" borderId="25" xfId="41" applyFont="1" applyBorder="1" applyAlignment="1">
      <alignment horizontal="center"/>
    </xf>
    <xf numFmtId="0" fontId="39" fillId="0" borderId="8" xfId="41" applyFont="1" applyBorder="1" applyAlignment="1">
      <alignment vertical="top" wrapText="1"/>
    </xf>
    <xf numFmtId="0" fontId="29" fillId="0" borderId="12" xfId="41" applyFont="1" applyBorder="1" applyAlignment="1">
      <alignment vertical="top" wrapText="1"/>
    </xf>
    <xf numFmtId="49" fontId="29" fillId="0" borderId="12" xfId="41" quotePrefix="1" applyNumberFormat="1" applyFont="1" applyBorder="1" applyAlignment="1">
      <alignment horizontal="center" vertical="top"/>
    </xf>
    <xf numFmtId="49" fontId="29" fillId="0" borderId="9" xfId="41" quotePrefix="1" applyNumberFormat="1" applyFont="1" applyBorder="1" applyAlignment="1">
      <alignment horizontal="center" vertical="top"/>
    </xf>
    <xf numFmtId="0" fontId="29" fillId="0" borderId="12" xfId="41" applyFont="1" applyBorder="1" applyAlignment="1">
      <alignment wrapText="1"/>
    </xf>
    <xf numFmtId="0" fontId="29" fillId="0" borderId="12" xfId="41" quotePrefix="1" applyFont="1" applyBorder="1" applyAlignment="1">
      <alignment horizontal="center" vertical="top"/>
    </xf>
    <xf numFmtId="0" fontId="34" fillId="0" borderId="20" xfId="41" applyFont="1" applyBorder="1" applyAlignment="1">
      <alignment horizontal="center"/>
    </xf>
    <xf numFmtId="0" fontId="29" fillId="0" borderId="26" xfId="41" applyFont="1" applyBorder="1"/>
    <xf numFmtId="49" fontId="29" fillId="0" borderId="26" xfId="41" applyNumberFormat="1" applyFont="1" applyBorder="1"/>
    <xf numFmtId="0" fontId="30" fillId="0" borderId="22" xfId="41" applyFont="1" applyBorder="1"/>
    <xf numFmtId="0" fontId="30" fillId="0" borderId="23" xfId="41" applyFont="1" applyBorder="1" applyAlignment="1">
      <alignment horizontal="left"/>
    </xf>
    <xf numFmtId="0" fontId="29" fillId="0" borderId="27" xfId="41" applyFont="1" applyBorder="1"/>
    <xf numFmtId="0" fontId="29" fillId="0" borderId="8" xfId="41" applyFont="1" applyBorder="1" applyAlignment="1">
      <alignment wrapText="1"/>
    </xf>
    <xf numFmtId="0" fontId="29" fillId="0" borderId="8" xfId="41" applyFont="1" applyBorder="1" applyAlignment="1">
      <alignment horizontal="center" wrapText="1"/>
    </xf>
    <xf numFmtId="0" fontId="34" fillId="6" borderId="28" xfId="41" applyFont="1" applyFill="1" applyBorder="1" applyAlignment="1">
      <alignment horizontal="center"/>
    </xf>
    <xf numFmtId="0" fontId="29" fillId="0" borderId="19" xfId="41" applyFont="1" applyBorder="1" applyAlignment="1">
      <alignment wrapText="1"/>
    </xf>
    <xf numFmtId="0" fontId="36" fillId="0" borderId="8" xfId="41" applyFont="1" applyBorder="1" applyAlignment="1">
      <alignment horizontal="right"/>
    </xf>
    <xf numFmtId="0" fontId="34" fillId="6" borderId="20" xfId="41" applyFont="1" applyFill="1" applyBorder="1" applyAlignment="1">
      <alignment horizontal="center"/>
    </xf>
    <xf numFmtId="0" fontId="34" fillId="5" borderId="3" xfId="41" applyFont="1" applyFill="1" applyBorder="1" applyAlignment="1">
      <alignment horizontal="center"/>
    </xf>
    <xf numFmtId="0" fontId="30" fillId="0" borderId="29" xfId="41" applyFont="1" applyBorder="1"/>
    <xf numFmtId="0" fontId="29" fillId="0" borderId="30" xfId="41" applyFont="1" applyBorder="1"/>
    <xf numFmtId="0" fontId="29" fillId="0" borderId="31" xfId="41" applyFont="1" applyBorder="1"/>
    <xf numFmtId="0" fontId="31" fillId="0" borderId="32" xfId="41" applyFont="1" applyBorder="1" applyAlignment="1">
      <alignment horizontal="center"/>
    </xf>
    <xf numFmtId="0" fontId="29" fillId="0" borderId="19" xfId="41" applyFont="1" applyBorder="1" applyAlignment="1">
      <alignment vertical="top"/>
    </xf>
    <xf numFmtId="0" fontId="29" fillId="0" borderId="19" xfId="41" applyFont="1" applyBorder="1"/>
    <xf numFmtId="0" fontId="29" fillId="0" borderId="0" xfId="41" applyFont="1" applyAlignment="1">
      <alignment vertical="top" wrapText="1"/>
    </xf>
    <xf numFmtId="0" fontId="29" fillId="0" borderId="9" xfId="41" applyFont="1" applyBorder="1" applyAlignment="1">
      <alignment vertical="top" wrapText="1"/>
    </xf>
    <xf numFmtId="0" fontId="35" fillId="0" borderId="31" xfId="41" applyFont="1" applyBorder="1" applyAlignment="1">
      <alignment vertical="top" wrapText="1"/>
    </xf>
    <xf numFmtId="49" fontId="29" fillId="0" borderId="31" xfId="41" applyNumberFormat="1" applyFont="1" applyBorder="1" applyAlignment="1">
      <alignment horizontal="center" vertical="top"/>
    </xf>
    <xf numFmtId="0" fontId="35" fillId="0" borderId="24" xfId="41" applyFont="1" applyBorder="1" applyAlignment="1">
      <alignment vertical="top" wrapText="1"/>
    </xf>
    <xf numFmtId="49" fontId="29" fillId="0" borderId="9" xfId="41" applyNumberFormat="1" applyFont="1" applyBorder="1" applyAlignment="1">
      <alignment horizontal="center" vertical="top" wrapText="1"/>
    </xf>
    <xf numFmtId="0" fontId="29" fillId="0" borderId="0" xfId="41" applyFont="1" applyAlignment="1">
      <alignment wrapText="1"/>
    </xf>
    <xf numFmtId="0" fontId="35" fillId="0" borderId="9" xfId="41" applyFont="1" applyBorder="1" applyAlignment="1">
      <alignment vertical="top" wrapText="1"/>
    </xf>
    <xf numFmtId="0" fontId="29" fillId="0" borderId="18" xfId="41" applyFont="1" applyBorder="1" applyAlignment="1">
      <alignment wrapText="1"/>
    </xf>
    <xf numFmtId="49" fontId="29" fillId="0" borderId="18" xfId="41" applyNumberFormat="1" applyFont="1" applyBorder="1" applyAlignment="1">
      <alignment horizontal="center"/>
    </xf>
    <xf numFmtId="0" fontId="29" fillId="0" borderId="23" xfId="41" applyFont="1" applyBorder="1" applyAlignment="1">
      <alignment vertical="top" wrapText="1"/>
    </xf>
    <xf numFmtId="0" fontId="29" fillId="0" borderId="24" xfId="41" applyFont="1" applyBorder="1" applyAlignment="1">
      <alignment wrapText="1"/>
    </xf>
    <xf numFmtId="49" fontId="29" fillId="0" borderId="24" xfId="41" applyNumberFormat="1" applyFont="1" applyBorder="1" applyAlignment="1">
      <alignment horizontal="center"/>
    </xf>
    <xf numFmtId="49" fontId="29" fillId="0" borderId="12" xfId="41" applyNumberFormat="1" applyFont="1" applyBorder="1" applyAlignment="1">
      <alignment horizontal="center"/>
    </xf>
    <xf numFmtId="0" fontId="29" fillId="0" borderId="11" xfId="41" applyFont="1" applyBorder="1"/>
    <xf numFmtId="0" fontId="42" fillId="0" borderId="18" xfId="41" applyFont="1" applyBorder="1" applyAlignment="1">
      <alignment horizontal="left" vertical="top" wrapText="1"/>
    </xf>
    <xf numFmtId="0" fontId="29" fillId="0" borderId="8" xfId="41" applyFont="1" applyBorder="1" applyAlignment="1">
      <alignment horizontal="left" vertical="top" wrapText="1"/>
    </xf>
    <xf numFmtId="0" fontId="32" fillId="0" borderId="0" xfId="41" quotePrefix="1" applyFont="1"/>
    <xf numFmtId="0" fontId="29" fillId="0" borderId="31" xfId="41" quotePrefix="1" applyFont="1" applyBorder="1" applyAlignment="1">
      <alignment horizontal="center" vertical="top"/>
    </xf>
    <xf numFmtId="0" fontId="29" fillId="0" borderId="8" xfId="41" applyFont="1" applyBorder="1" applyAlignment="1">
      <alignment vertical="top" wrapText="1"/>
    </xf>
    <xf numFmtId="0" fontId="29" fillId="0" borderId="24" xfId="41" quotePrefix="1" applyFont="1" applyBorder="1" applyAlignment="1">
      <alignment horizontal="center" vertical="top"/>
    </xf>
    <xf numFmtId="16" fontId="29" fillId="0" borderId="9" xfId="41" quotePrefix="1" applyNumberFormat="1" applyFont="1" applyBorder="1" applyAlignment="1">
      <alignment horizontal="center" vertical="top"/>
    </xf>
    <xf numFmtId="0" fontId="29" fillId="0" borderId="9" xfId="41" quotePrefix="1" applyFont="1" applyBorder="1" applyAlignment="1">
      <alignment horizontal="center" vertical="top"/>
    </xf>
    <xf numFmtId="0" fontId="29" fillId="0" borderId="9" xfId="41" applyFont="1" applyBorder="1" applyAlignment="1">
      <alignment horizontal="center" vertical="top"/>
    </xf>
    <xf numFmtId="0" fontId="43" fillId="0" borderId="2" xfId="41" applyFont="1" applyBorder="1"/>
    <xf numFmtId="0" fontId="43" fillId="0" borderId="8" xfId="41" applyFont="1" applyBorder="1" applyAlignment="1">
      <alignment horizontal="left"/>
    </xf>
    <xf numFmtId="0" fontId="32" fillId="0" borderId="19" xfId="41" applyFont="1" applyBorder="1"/>
    <xf numFmtId="0" fontId="32" fillId="0" borderId="19" xfId="41" applyFont="1" applyBorder="1" applyAlignment="1">
      <alignment horizontal="center"/>
    </xf>
    <xf numFmtId="0" fontId="44" fillId="0" borderId="20" xfId="41" applyFont="1" applyBorder="1" applyAlignment="1">
      <alignment horizontal="center"/>
    </xf>
    <xf numFmtId="0" fontId="43" fillId="0" borderId="8" xfId="41" applyFont="1" applyBorder="1"/>
    <xf numFmtId="0" fontId="32" fillId="0" borderId="33" xfId="41" applyFont="1" applyBorder="1" applyAlignment="1">
      <alignment horizontal="left" wrapText="1"/>
    </xf>
    <xf numFmtId="49" fontId="32" fillId="0" borderId="19" xfId="41" applyNumberFormat="1" applyFont="1" applyBorder="1" applyAlignment="1">
      <alignment horizontal="center"/>
    </xf>
    <xf numFmtId="0" fontId="32" fillId="0" borderId="33" xfId="41" applyFont="1" applyBorder="1" applyAlignment="1">
      <alignment horizontal="center"/>
    </xf>
    <xf numFmtId="0" fontId="43" fillId="0" borderId="10" xfId="41" applyFont="1" applyBorder="1"/>
    <xf numFmtId="0" fontId="45" fillId="0" borderId="11" xfId="41" applyFont="1" applyBorder="1" applyAlignment="1">
      <alignment horizontal="right"/>
    </xf>
    <xf numFmtId="0" fontId="32" fillId="0" borderId="34" xfId="41" applyFont="1" applyBorder="1" applyAlignment="1">
      <alignment horizontal="left" wrapText="1"/>
    </xf>
    <xf numFmtId="0" fontId="32" fillId="0" borderId="34" xfId="41" applyFont="1" applyBorder="1" applyAlignment="1">
      <alignment horizontal="center"/>
    </xf>
    <xf numFmtId="0" fontId="46" fillId="7" borderId="28" xfId="41" applyFont="1" applyFill="1" applyBorder="1" applyAlignment="1">
      <alignment horizontal="center"/>
    </xf>
    <xf numFmtId="0" fontId="32" fillId="0" borderId="2" xfId="41" applyFont="1" applyBorder="1"/>
    <xf numFmtId="0" fontId="32" fillId="0" borderId="8" xfId="41" applyFont="1" applyBorder="1"/>
    <xf numFmtId="0" fontId="32" fillId="0" borderId="33" xfId="41" applyFont="1" applyBorder="1"/>
    <xf numFmtId="179" fontId="24" fillId="0" borderId="8" xfId="40" quotePrefix="1" applyNumberFormat="1" applyFont="1" applyBorder="1" applyAlignment="1">
      <alignment horizontal="center"/>
    </xf>
    <xf numFmtId="14" fontId="47" fillId="0" borderId="8" xfId="41" quotePrefix="1" applyNumberFormat="1" applyFont="1" applyBorder="1" applyAlignment="1">
      <alignment horizontal="center"/>
    </xf>
    <xf numFmtId="0" fontId="45" fillId="0" borderId="8" xfId="41" applyFont="1" applyBorder="1" applyAlignment="1">
      <alignment horizontal="right"/>
    </xf>
    <xf numFmtId="0" fontId="46" fillId="6" borderId="28" xfId="41" applyFont="1" applyFill="1" applyBorder="1" applyAlignment="1">
      <alignment horizontal="center"/>
    </xf>
    <xf numFmtId="0" fontId="32" fillId="0" borderId="14" xfId="41" applyFont="1" applyBorder="1"/>
    <xf numFmtId="0" fontId="43" fillId="0" borderId="15" xfId="41" applyFont="1" applyBorder="1" applyAlignment="1">
      <alignment horizontal="right"/>
    </xf>
    <xf numFmtId="0" fontId="32" fillId="0" borderId="26" xfId="41" applyFont="1" applyBorder="1"/>
    <xf numFmtId="0" fontId="46" fillId="8" borderId="35" xfId="44" applyFont="1" applyFill="1" applyBorder="1"/>
    <xf numFmtId="0" fontId="48" fillId="0" borderId="0" xfId="41" applyFont="1" applyAlignment="1">
      <alignment horizontal="left"/>
    </xf>
    <xf numFmtId="0" fontId="46" fillId="0" borderId="0" xfId="41" applyFont="1" applyAlignment="1">
      <alignment horizontal="center"/>
    </xf>
    <xf numFmtId="0" fontId="44" fillId="0" borderId="0" xfId="41" applyFont="1" applyAlignment="1">
      <alignment horizontal="center"/>
    </xf>
    <xf numFmtId="0" fontId="43" fillId="0" borderId="6" xfId="41" applyFont="1" applyBorder="1"/>
    <xf numFmtId="0" fontId="32" fillId="0" borderId="6" xfId="41" applyFont="1" applyBorder="1"/>
    <xf numFmtId="0" fontId="44" fillId="0" borderId="6" xfId="41" applyFont="1" applyBorder="1" applyAlignment="1">
      <alignment horizontal="center"/>
    </xf>
    <xf numFmtId="0" fontId="32" fillId="0" borderId="22" xfId="41" applyFont="1" applyBorder="1"/>
    <xf numFmtId="0" fontId="32" fillId="0" borderId="36" xfId="41" applyFont="1" applyBorder="1"/>
    <xf numFmtId="0" fontId="32" fillId="0" borderId="37" xfId="41" applyFont="1" applyBorder="1" applyAlignment="1">
      <alignment horizontal="center" vertical="top" wrapText="1"/>
    </xf>
    <xf numFmtId="0" fontId="44" fillId="0" borderId="5" xfId="41" applyFont="1" applyBorder="1" applyAlignment="1">
      <alignment horizontal="center" vertical="top"/>
    </xf>
    <xf numFmtId="0" fontId="44" fillId="0" borderId="3" xfId="41" applyFont="1" applyBorder="1" applyAlignment="1">
      <alignment horizontal="center"/>
    </xf>
    <xf numFmtId="0" fontId="43" fillId="0" borderId="9" xfId="41" applyFont="1" applyBorder="1"/>
    <xf numFmtId="0" fontId="46" fillId="0" borderId="38" xfId="41" applyFont="1" applyBorder="1" applyAlignment="1">
      <alignment horizontal="center"/>
    </xf>
    <xf numFmtId="0" fontId="32" fillId="0" borderId="12" xfId="41" applyFont="1" applyBorder="1"/>
    <xf numFmtId="0" fontId="44" fillId="0" borderId="13" xfId="41" applyFont="1" applyBorder="1" applyAlignment="1">
      <alignment horizontal="center"/>
    </xf>
    <xf numFmtId="0" fontId="43" fillId="0" borderId="12" xfId="41" applyFont="1" applyBorder="1"/>
    <xf numFmtId="0" fontId="46" fillId="0" borderId="13" xfId="41" applyFont="1" applyBorder="1" applyAlignment="1">
      <alignment horizontal="center"/>
    </xf>
    <xf numFmtId="0" fontId="43" fillId="0" borderId="19" xfId="41" applyFont="1" applyBorder="1"/>
    <xf numFmtId="0" fontId="46" fillId="0" borderId="3" xfId="41" applyFont="1" applyBorder="1" applyAlignment="1">
      <alignment horizontal="center"/>
    </xf>
    <xf numFmtId="0" fontId="43" fillId="0" borderId="39" xfId="41" applyFont="1" applyBorder="1"/>
    <xf numFmtId="0" fontId="46" fillId="8" borderId="40" xfId="41" applyFont="1" applyFill="1" applyBorder="1" applyAlignment="1">
      <alignment horizontal="center"/>
    </xf>
    <xf numFmtId="0" fontId="43" fillId="0" borderId="19" xfId="41" applyFont="1" applyBorder="1" applyAlignment="1">
      <alignment horizontal="center"/>
    </xf>
    <xf numFmtId="0" fontId="46" fillId="8" borderId="7" xfId="41" applyFont="1" applyFill="1" applyBorder="1" applyAlignment="1">
      <alignment horizontal="center"/>
    </xf>
    <xf numFmtId="0" fontId="32" fillId="0" borderId="10" xfId="41" applyFont="1" applyBorder="1"/>
    <xf numFmtId="0" fontId="50" fillId="0" borderId="0" xfId="41" applyFont="1" applyAlignment="1">
      <alignment horizontal="left"/>
    </xf>
    <xf numFmtId="0" fontId="32" fillId="0" borderId="41" xfId="41" applyFont="1" applyBorder="1"/>
    <xf numFmtId="0" fontId="43" fillId="0" borderId="42" xfId="41" applyFont="1" applyBorder="1" applyAlignment="1">
      <alignment horizontal="centerContinuous"/>
    </xf>
    <xf numFmtId="16" fontId="32" fillId="0" borderId="2" xfId="41" applyNumberFormat="1" applyFont="1" applyBorder="1"/>
    <xf numFmtId="0" fontId="51" fillId="0" borderId="6" xfId="41" applyFont="1" applyBorder="1" applyAlignment="1">
      <alignment horizontal="center"/>
    </xf>
    <xf numFmtId="0" fontId="27" fillId="0" borderId="0" xfId="41"/>
    <xf numFmtId="0" fontId="1" fillId="0" borderId="0" xfId="41" applyFont="1"/>
    <xf numFmtId="0" fontId="23" fillId="0" borderId="6" xfId="41" applyFont="1" applyBorder="1"/>
    <xf numFmtId="0" fontId="23" fillId="0" borderId="0" xfId="41" applyFont="1"/>
    <xf numFmtId="0" fontId="26" fillId="0" borderId="0" xfId="41" applyFont="1"/>
    <xf numFmtId="0" fontId="5" fillId="0" borderId="4" xfId="41" applyFont="1" applyBorder="1"/>
    <xf numFmtId="0" fontId="26" fillId="0" borderId="5" xfId="41" applyFont="1" applyBorder="1"/>
    <xf numFmtId="0" fontId="5" fillId="0" borderId="45" xfId="41" applyFont="1" applyBorder="1" applyAlignment="1">
      <alignment horizontal="centerContinuous"/>
    </xf>
    <xf numFmtId="0" fontId="2" fillId="0" borderId="45" xfId="41" applyFont="1" applyBorder="1" applyAlignment="1">
      <alignment horizontal="centerContinuous"/>
    </xf>
    <xf numFmtId="0" fontId="5" fillId="0" borderId="46" xfId="41" applyFont="1" applyBorder="1" applyAlignment="1">
      <alignment horizontal="center" vertical="top" wrapText="1"/>
    </xf>
    <xf numFmtId="0" fontId="2" fillId="0" borderId="0" xfId="41" applyFont="1" applyAlignment="1">
      <alignment horizontal="centerContinuous"/>
    </xf>
    <xf numFmtId="0" fontId="5" fillId="0" borderId="47" xfId="41" applyFont="1" applyBorder="1" applyAlignment="1">
      <alignment horizontal="center"/>
    </xf>
    <xf numFmtId="0" fontId="5" fillId="0" borderId="19" xfId="41" applyFont="1" applyBorder="1" applyAlignment="1">
      <alignment horizontal="center" vertical="top" wrapText="1"/>
    </xf>
    <xf numFmtId="0" fontId="5" fillId="0" borderId="48" xfId="41" applyFont="1" applyBorder="1" applyAlignment="1">
      <alignment horizontal="center" vertical="top" wrapText="1"/>
    </xf>
    <xf numFmtId="0" fontId="5" fillId="0" borderId="49" xfId="41" applyFont="1" applyBorder="1" applyAlignment="1">
      <alignment horizontal="center" wrapText="1"/>
    </xf>
    <xf numFmtId="0" fontId="54" fillId="0" borderId="19" xfId="41" applyFont="1" applyBorder="1" applyAlignment="1">
      <alignment horizontal="left" vertical="top" wrapText="1"/>
    </xf>
    <xf numFmtId="0" fontId="2" fillId="0" borderId="49" xfId="41" applyFont="1" applyBorder="1" applyAlignment="1">
      <alignment horizontal="center" wrapText="1"/>
    </xf>
    <xf numFmtId="0" fontId="5" fillId="0" borderId="50" xfId="41" applyFont="1" applyBorder="1" applyAlignment="1">
      <alignment horizontal="center"/>
    </xf>
    <xf numFmtId="0" fontId="21" fillId="0" borderId="34" xfId="41" applyFont="1" applyBorder="1" applyAlignment="1">
      <alignment horizontal="center"/>
    </xf>
    <xf numFmtId="0" fontId="5" fillId="0" borderId="51" xfId="41" applyFont="1" applyBorder="1" applyAlignment="1">
      <alignment horizontal="center" vertical="top" wrapText="1"/>
    </xf>
    <xf numFmtId="0" fontId="21" fillId="0" borderId="49" xfId="41" applyFont="1" applyBorder="1" applyAlignment="1">
      <alignment horizontal="center"/>
    </xf>
    <xf numFmtId="0" fontId="21" fillId="0" borderId="47" xfId="41" applyFont="1" applyBorder="1" applyAlignment="1">
      <alignment horizontal="center"/>
    </xf>
    <xf numFmtId="0" fontId="2" fillId="0" borderId="47" xfId="41" applyFont="1" applyBorder="1"/>
    <xf numFmtId="0" fontId="2" fillId="0" borderId="33" xfId="41" applyFont="1" applyBorder="1"/>
    <xf numFmtId="0" fontId="2" fillId="0" borderId="48" xfId="41" applyFont="1" applyBorder="1"/>
    <xf numFmtId="0" fontId="2" fillId="0" borderId="49" xfId="41" applyFont="1" applyBorder="1"/>
    <xf numFmtId="0" fontId="2" fillId="0" borderId="47" xfId="41" applyFont="1" applyBorder="1" applyAlignment="1">
      <alignment vertical="top" wrapText="1"/>
    </xf>
    <xf numFmtId="0" fontId="2" fillId="0" borderId="33" xfId="41" applyFont="1" applyBorder="1" applyAlignment="1">
      <alignment vertical="top"/>
    </xf>
    <xf numFmtId="0" fontId="2" fillId="9" borderId="33" xfId="41" applyFont="1" applyFill="1" applyBorder="1" applyAlignment="1">
      <alignment vertical="top"/>
    </xf>
    <xf numFmtId="167" fontId="2" fillId="0" borderId="48" xfId="1" applyNumberFormat="1" applyFont="1" applyBorder="1" applyAlignment="1">
      <alignment vertical="top"/>
    </xf>
    <xf numFmtId="0" fontId="2" fillId="0" borderId="47" xfId="41" applyFont="1" applyBorder="1" applyAlignment="1">
      <alignment vertical="top"/>
    </xf>
    <xf numFmtId="167" fontId="2" fillId="0" borderId="48" xfId="1" applyNumberFormat="1" applyFont="1" applyBorder="1"/>
    <xf numFmtId="0" fontId="27" fillId="0" borderId="0" xfId="41" applyAlignment="1">
      <alignment horizontal="center"/>
    </xf>
    <xf numFmtId="2" fontId="2" fillId="9" borderId="33" xfId="41" applyNumberFormat="1" applyFont="1" applyFill="1" applyBorder="1" applyAlignment="1">
      <alignment vertical="top"/>
    </xf>
    <xf numFmtId="180" fontId="2" fillId="9" borderId="33" xfId="41" applyNumberFormat="1" applyFont="1" applyFill="1" applyBorder="1" applyAlignment="1">
      <alignment vertical="top"/>
    </xf>
    <xf numFmtId="167" fontId="26" fillId="0" borderId="0" xfId="1" applyNumberFormat="1" applyFont="1" applyAlignment="1">
      <alignment horizontal="center"/>
    </xf>
    <xf numFmtId="41" fontId="2" fillId="0" borderId="33" xfId="41" applyNumberFormat="1" applyFont="1" applyBorder="1" applyAlignment="1">
      <alignment vertical="top"/>
    </xf>
    <xf numFmtId="167" fontId="2" fillId="0" borderId="47" xfId="1" applyNumberFormat="1" applyFont="1" applyBorder="1"/>
    <xf numFmtId="167" fontId="26" fillId="0" borderId="0" xfId="1" applyNumberFormat="1" applyFont="1" applyAlignment="1">
      <alignment horizontal="left"/>
    </xf>
    <xf numFmtId="41" fontId="2" fillId="9" borderId="33" xfId="41" applyNumberFormat="1" applyFont="1" applyFill="1" applyBorder="1" applyAlignment="1">
      <alignment vertical="top"/>
    </xf>
    <xf numFmtId="167" fontId="55" fillId="0" borderId="0" xfId="1" applyNumberFormat="1" applyFont="1" applyAlignment="1">
      <alignment horizontal="left"/>
    </xf>
    <xf numFmtId="167" fontId="55" fillId="0" borderId="0" xfId="1" applyNumberFormat="1" applyFont="1" applyAlignment="1">
      <alignment horizontal="center"/>
    </xf>
    <xf numFmtId="0" fontId="56" fillId="0" borderId="0" xfId="41" applyFont="1"/>
    <xf numFmtId="167" fontId="2" fillId="0" borderId="48" xfId="1" applyNumberFormat="1" applyFont="1" applyFill="1" applyBorder="1" applyAlignment="1">
      <alignment vertical="top"/>
    </xf>
    <xf numFmtId="167" fontId="27" fillId="0" borderId="0" xfId="1" applyNumberFormat="1" applyFont="1" applyAlignment="1">
      <alignment horizontal="left"/>
    </xf>
    <xf numFmtId="167" fontId="27" fillId="0" borderId="0" xfId="1" applyNumberFormat="1" applyFont="1"/>
    <xf numFmtId="167" fontId="56" fillId="0" borderId="0" xfId="41" applyNumberFormat="1" applyFont="1"/>
    <xf numFmtId="167" fontId="27" fillId="0" borderId="0" xfId="41" applyNumberFormat="1"/>
    <xf numFmtId="43" fontId="2" fillId="0" borderId="47" xfId="1" applyFont="1" applyBorder="1"/>
    <xf numFmtId="43" fontId="27" fillId="0" borderId="0" xfId="1" applyFont="1"/>
    <xf numFmtId="167" fontId="57" fillId="0" borderId="0" xfId="41" applyNumberFormat="1" applyFont="1"/>
    <xf numFmtId="41" fontId="27" fillId="0" borderId="0" xfId="41" applyNumberFormat="1"/>
    <xf numFmtId="41" fontId="56" fillId="0" borderId="0" xfId="41" applyNumberFormat="1" applyFont="1"/>
    <xf numFmtId="167" fontId="2" fillId="0" borderId="48" xfId="1" applyNumberFormat="1" applyFont="1" applyFill="1" applyBorder="1"/>
    <xf numFmtId="0" fontId="2" fillId="0" borderId="50" xfId="41" applyFont="1" applyBorder="1" applyAlignment="1">
      <alignment vertical="top"/>
    </xf>
    <xf numFmtId="0" fontId="2" fillId="0" borderId="34" xfId="41" applyFont="1" applyBorder="1" applyAlignment="1">
      <alignment vertical="top"/>
    </xf>
    <xf numFmtId="0" fontId="2" fillId="0" borderId="50" xfId="41" applyFont="1" applyBorder="1"/>
    <xf numFmtId="0" fontId="2" fillId="0" borderId="34" xfId="41" applyFont="1" applyBorder="1"/>
    <xf numFmtId="167" fontId="2" fillId="0" borderId="51" xfId="1" applyNumberFormat="1" applyFont="1" applyBorder="1"/>
    <xf numFmtId="0" fontId="2" fillId="0" borderId="53" xfId="41" applyFont="1" applyBorder="1" applyAlignment="1">
      <alignment horizontal="center"/>
    </xf>
    <xf numFmtId="0" fontId="2" fillId="0" borderId="43" xfId="41" applyFont="1" applyBorder="1"/>
    <xf numFmtId="0" fontId="2" fillId="0" borderId="42" xfId="41" applyFont="1" applyBorder="1"/>
    <xf numFmtId="1" fontId="22" fillId="0" borderId="54" xfId="41" applyNumberFormat="1" applyFont="1" applyBorder="1"/>
    <xf numFmtId="0" fontId="2" fillId="0" borderId="53" xfId="41" applyFont="1" applyBorder="1" applyAlignment="1">
      <alignment horizontal="right"/>
    </xf>
    <xf numFmtId="0" fontId="5" fillId="0" borderId="55" xfId="41" applyFont="1" applyBorder="1"/>
    <xf numFmtId="0" fontId="2" fillId="0" borderId="6" xfId="41" applyFont="1" applyBorder="1"/>
    <xf numFmtId="0" fontId="2" fillId="0" borderId="17" xfId="41" applyFont="1" applyBorder="1"/>
    <xf numFmtId="43" fontId="5" fillId="8" borderId="4" xfId="41" applyNumberFormat="1" applyFont="1" applyFill="1" applyBorder="1" applyAlignment="1">
      <alignment horizontal="center"/>
    </xf>
    <xf numFmtId="3" fontId="5" fillId="8" borderId="5" xfId="41" applyNumberFormat="1" applyFont="1" applyFill="1" applyBorder="1" applyAlignment="1">
      <alignment horizontal="center"/>
    </xf>
    <xf numFmtId="0" fontId="2" fillId="0" borderId="56" xfId="41" applyFont="1" applyBorder="1"/>
    <xf numFmtId="0" fontId="2" fillId="0" borderId="0" xfId="41" applyFont="1"/>
    <xf numFmtId="0" fontId="5" fillId="0" borderId="0" xfId="41" applyFont="1"/>
    <xf numFmtId="3" fontId="5" fillId="0" borderId="0" xfId="41" applyNumberFormat="1" applyFont="1" applyAlignment="1">
      <alignment horizontal="center"/>
    </xf>
    <xf numFmtId="0" fontId="5" fillId="0" borderId="4" xfId="41" applyFont="1" applyBorder="1" applyAlignment="1">
      <alignment horizontal="centerContinuous"/>
    </xf>
    <xf numFmtId="0" fontId="23" fillId="0" borderId="45" xfId="41" applyFont="1" applyBorder="1" applyAlignment="1">
      <alignment horizontal="centerContinuous"/>
    </xf>
    <xf numFmtId="0" fontId="23" fillId="0" borderId="5" xfId="41" applyFont="1" applyBorder="1" applyAlignment="1">
      <alignment horizontal="centerContinuous"/>
    </xf>
    <xf numFmtId="0" fontId="58" fillId="0" borderId="0" xfId="41" applyFont="1"/>
    <xf numFmtId="0" fontId="23" fillId="0" borderId="0" xfId="41" applyFont="1" applyAlignment="1">
      <alignment horizontal="centerContinuous"/>
    </xf>
    <xf numFmtId="0" fontId="5" fillId="0" borderId="7" xfId="41" applyFont="1" applyBorder="1" applyAlignment="1">
      <alignment horizontal="center" vertical="top" wrapText="1"/>
    </xf>
    <xf numFmtId="0" fontId="5" fillId="0" borderId="7" xfId="41" applyFont="1" applyBorder="1" applyAlignment="1">
      <alignment horizontal="center"/>
    </xf>
    <xf numFmtId="0" fontId="5" fillId="0" borderId="7" xfId="41" applyFont="1" applyBorder="1"/>
    <xf numFmtId="0" fontId="26" fillId="0" borderId="57" xfId="41" applyFont="1" applyBorder="1" applyAlignment="1">
      <alignment horizontal="right"/>
    </xf>
    <xf numFmtId="0" fontId="26" fillId="0" borderId="57" xfId="41" applyFont="1" applyBorder="1" applyAlignment="1">
      <alignment horizontal="center"/>
    </xf>
    <xf numFmtId="0" fontId="5" fillId="0" borderId="0" xfId="41" applyFont="1" applyAlignment="1">
      <alignment horizontal="center"/>
    </xf>
    <xf numFmtId="0" fontId="26" fillId="0" borderId="59" xfId="41" applyFont="1" applyBorder="1" applyAlignment="1">
      <alignment horizontal="right"/>
    </xf>
    <xf numFmtId="0" fontId="26" fillId="0" borderId="59" xfId="41" applyFont="1" applyBorder="1" applyAlignment="1">
      <alignment horizontal="center"/>
    </xf>
    <xf numFmtId="0" fontId="5" fillId="0" borderId="4" xfId="41" applyFont="1" applyBorder="1" applyAlignment="1">
      <alignment horizontal="left"/>
    </xf>
    <xf numFmtId="0" fontId="26" fillId="0" borderId="14" xfId="41" applyFont="1" applyBorder="1"/>
    <xf numFmtId="0" fontId="2" fillId="0" borderId="60" xfId="41" applyFont="1" applyBorder="1" applyAlignment="1">
      <alignment horizontal="right"/>
    </xf>
    <xf numFmtId="0" fontId="26" fillId="0" borderId="60" xfId="41" applyFont="1" applyBorder="1" applyAlignment="1">
      <alignment horizontal="center"/>
    </xf>
    <xf numFmtId="0" fontId="26" fillId="0" borderId="45" xfId="41" applyFont="1" applyBorder="1"/>
    <xf numFmtId="1" fontId="5" fillId="10" borderId="5" xfId="41" applyNumberFormat="1" applyFont="1" applyFill="1" applyBorder="1" applyAlignment="1">
      <alignment horizontal="center"/>
    </xf>
    <xf numFmtId="0" fontId="26" fillId="0" borderId="0" xfId="41" applyFont="1" applyAlignment="1">
      <alignment horizontal="right"/>
    </xf>
    <xf numFmtId="0" fontId="26" fillId="0" borderId="0" xfId="41" applyFont="1" applyAlignment="1">
      <alignment horizontal="center"/>
    </xf>
    <xf numFmtId="0" fontId="5" fillId="0" borderId="6" xfId="41" applyFont="1" applyBorder="1" applyAlignment="1">
      <alignment horizontal="center"/>
    </xf>
    <xf numFmtId="0" fontId="5" fillId="0" borderId="45" xfId="41" applyFont="1" applyBorder="1" applyAlignment="1">
      <alignment horizontal="center"/>
    </xf>
    <xf numFmtId="16" fontId="26" fillId="0" borderId="0" xfId="41" quotePrefix="1" applyNumberFormat="1" applyFont="1" applyAlignment="1">
      <alignment horizontal="right"/>
    </xf>
    <xf numFmtId="0" fontId="59" fillId="0" borderId="0" xfId="41" applyFont="1"/>
    <xf numFmtId="0" fontId="5" fillId="5" borderId="0" xfId="41" applyFont="1" applyFill="1" applyAlignment="1">
      <alignment horizontal="center"/>
    </xf>
    <xf numFmtId="0" fontId="27" fillId="0" borderId="0" xfId="39" applyFont="1"/>
    <xf numFmtId="0" fontId="25" fillId="0" borderId="0" xfId="39" applyFont="1"/>
    <xf numFmtId="0" fontId="62" fillId="0" borderId="0" xfId="41" applyFont="1"/>
    <xf numFmtId="0" fontId="63" fillId="0" borderId="0" xfId="41" applyFont="1"/>
    <xf numFmtId="0" fontId="64" fillId="0" borderId="0" xfId="41" applyFont="1"/>
    <xf numFmtId="176" fontId="2" fillId="9" borderId="33" xfId="41" applyNumberFormat="1" applyFont="1" applyFill="1" applyBorder="1" applyAlignment="1">
      <alignment vertical="top"/>
    </xf>
    <xf numFmtId="176" fontId="2" fillId="0" borderId="33" xfId="41" applyNumberFormat="1" applyFont="1" applyBorder="1" applyAlignment="1">
      <alignment vertical="top"/>
    </xf>
    <xf numFmtId="176" fontId="2" fillId="9" borderId="33" xfId="1" applyNumberFormat="1" applyFont="1" applyFill="1" applyBorder="1" applyAlignment="1">
      <alignment vertical="top"/>
    </xf>
    <xf numFmtId="181" fontId="2" fillId="0" borderId="33" xfId="41" applyNumberFormat="1" applyFont="1" applyBorder="1" applyAlignment="1">
      <alignment vertical="top"/>
    </xf>
    <xf numFmtId="181" fontId="2" fillId="0" borderId="34" xfId="41" applyNumberFormat="1" applyFont="1" applyBorder="1"/>
    <xf numFmtId="181" fontId="22" fillId="0" borderId="33" xfId="41" applyNumberFormat="1" applyFont="1" applyBorder="1"/>
    <xf numFmtId="166" fontId="22" fillId="0" borderId="33" xfId="1" applyNumberFormat="1" applyFont="1" applyBorder="1"/>
    <xf numFmtId="178" fontId="30" fillId="0" borderId="8" xfId="41" applyNumberFormat="1" applyFont="1" applyBorder="1" applyAlignment="1">
      <alignment horizontal="center"/>
    </xf>
    <xf numFmtId="0" fontId="6" fillId="0" borderId="9" xfId="44" applyFont="1" applyBorder="1" applyAlignment="1">
      <alignment vertical="top" wrapText="1"/>
    </xf>
    <xf numFmtId="0" fontId="6" fillId="0" borderId="12" xfId="44" applyFont="1" applyBorder="1" applyAlignment="1">
      <alignment vertical="top" wrapText="1"/>
    </xf>
    <xf numFmtId="0" fontId="14" fillId="0" borderId="0" xfId="41" applyFont="1"/>
    <xf numFmtId="164" fontId="8" fillId="0" borderId="0" xfId="0" applyFont="1" applyAlignment="1">
      <alignment horizontal="left"/>
    </xf>
    <xf numFmtId="0" fontId="29" fillId="0" borderId="9" xfId="42" applyFont="1" applyBorder="1" applyAlignment="1">
      <alignment wrapText="1"/>
    </xf>
    <xf numFmtId="0" fontId="33" fillId="0" borderId="15" xfId="41" applyFont="1" applyBorder="1" applyAlignment="1">
      <alignment horizontal="right"/>
    </xf>
    <xf numFmtId="0" fontId="29" fillId="0" borderId="8" xfId="41" applyFont="1" applyBorder="1" applyAlignment="1">
      <alignment horizontal="left"/>
    </xf>
    <xf numFmtId="0" fontId="29" fillId="0" borderId="8" xfId="41" applyFont="1" applyBorder="1" applyAlignment="1">
      <alignment horizontal="center"/>
    </xf>
    <xf numFmtId="10" fontId="29" fillId="0" borderId="8" xfId="41" applyNumberFormat="1" applyFont="1" applyBorder="1" applyAlignment="1">
      <alignment horizontal="center"/>
    </xf>
    <xf numFmtId="17" fontId="32" fillId="0" borderId="8" xfId="41" applyNumberFormat="1" applyFont="1" applyBorder="1"/>
    <xf numFmtId="0" fontId="30" fillId="0" borderId="8" xfId="41" applyFont="1" applyBorder="1" applyAlignment="1">
      <alignment horizontal="center" wrapText="1"/>
    </xf>
    <xf numFmtId="10" fontId="30" fillId="0" borderId="8" xfId="41" applyNumberFormat="1" applyFont="1" applyBorder="1" applyAlignment="1">
      <alignment horizontal="center" vertical="justify"/>
    </xf>
    <xf numFmtId="0" fontId="1" fillId="10" borderId="5" xfId="41" applyFont="1" applyFill="1" applyBorder="1" applyAlignment="1">
      <alignment horizontal="center"/>
    </xf>
    <xf numFmtId="0" fontId="1" fillId="0" borderId="4" xfId="41" applyFont="1" applyBorder="1"/>
    <xf numFmtId="0" fontId="46" fillId="0" borderId="64" xfId="41" applyFont="1" applyBorder="1" applyAlignment="1">
      <alignment horizontal="center"/>
    </xf>
    <xf numFmtId="0" fontId="51" fillId="0" borderId="0" xfId="41" applyFont="1" applyAlignment="1">
      <alignment horizontal="center"/>
    </xf>
    <xf numFmtId="49" fontId="51" fillId="0" borderId="0" xfId="41" applyNumberFormat="1" applyFont="1" applyAlignment="1">
      <alignment horizontal="center"/>
    </xf>
    <xf numFmtId="49" fontId="51" fillId="0" borderId="6" xfId="41" applyNumberFormat="1" applyFont="1" applyBorder="1" applyAlignment="1">
      <alignment horizontal="center"/>
    </xf>
    <xf numFmtId="0" fontId="43" fillId="0" borderId="30" xfId="41" applyFont="1" applyBorder="1" applyAlignment="1">
      <alignment horizontal="centerContinuous"/>
    </xf>
    <xf numFmtId="0" fontId="51" fillId="0" borderId="61" xfId="41" applyFont="1" applyBorder="1" applyAlignment="1">
      <alignment horizontal="center"/>
    </xf>
    <xf numFmtId="0" fontId="51" fillId="0" borderId="65" xfId="41" applyFont="1" applyBorder="1" applyAlignment="1">
      <alignment horizontal="center"/>
    </xf>
    <xf numFmtId="0" fontId="51" fillId="0" borderId="66" xfId="41" applyFont="1" applyBorder="1" applyAlignment="1">
      <alignment horizontal="center"/>
    </xf>
    <xf numFmtId="0" fontId="1" fillId="0" borderId="47" xfId="41" applyFont="1" applyBorder="1" applyAlignment="1">
      <alignment horizontal="center"/>
    </xf>
    <xf numFmtId="164" fontId="67" fillId="0" borderId="0" xfId="0" applyFont="1"/>
    <xf numFmtId="0" fontId="6" fillId="0" borderId="52" xfId="41" applyFont="1" applyBorder="1" applyAlignment="1">
      <alignment horizontal="left" vertical="center" wrapText="1"/>
    </xf>
    <xf numFmtId="0" fontId="2" fillId="0" borderId="47" xfId="41" applyFont="1" applyBorder="1" applyAlignment="1">
      <alignment vertical="center" wrapText="1"/>
    </xf>
    <xf numFmtId="0" fontId="2" fillId="0" borderId="47" xfId="41" applyFont="1" applyBorder="1" applyAlignment="1">
      <alignment vertical="center"/>
    </xf>
    <xf numFmtId="0" fontId="2" fillId="12" borderId="9" xfId="41" applyFont="1" applyFill="1" applyBorder="1" applyAlignment="1">
      <alignment vertical="top"/>
    </xf>
    <xf numFmtId="41" fontId="2" fillId="12" borderId="9" xfId="41" applyNumberFormat="1" applyFont="1" applyFill="1" applyBorder="1" applyAlignment="1">
      <alignment vertical="top"/>
    </xf>
    <xf numFmtId="180" fontId="2" fillId="12" borderId="9" xfId="41" applyNumberFormat="1" applyFont="1" applyFill="1" applyBorder="1" applyAlignment="1">
      <alignment vertical="top"/>
    </xf>
    <xf numFmtId="181" fontId="2" fillId="12" borderId="9" xfId="41" applyNumberFormat="1" applyFont="1" applyFill="1" applyBorder="1" applyAlignment="1">
      <alignment vertical="top"/>
    </xf>
    <xf numFmtId="0" fontId="27" fillId="0" borderId="0" xfId="39" applyFont="1" applyAlignment="1">
      <alignment horizontal="center"/>
    </xf>
    <xf numFmtId="165" fontId="7" fillId="0" borderId="0" xfId="43" applyFont="1" applyAlignment="1">
      <alignment horizontal="center" vertical="center"/>
    </xf>
    <xf numFmtId="167" fontId="8" fillId="0" borderId="0" xfId="1" applyNumberFormat="1" applyFont="1" applyBorder="1" applyAlignment="1">
      <alignment horizontal="center" vertical="center"/>
    </xf>
    <xf numFmtId="0" fontId="7" fillId="0" borderId="0" xfId="39" applyFont="1" applyAlignment="1">
      <alignment horizontal="right"/>
    </xf>
    <xf numFmtId="167" fontId="7" fillId="6" borderId="0" xfId="39" applyNumberFormat="1" applyFont="1" applyFill="1" applyAlignment="1">
      <alignment horizontal="center"/>
    </xf>
    <xf numFmtId="165" fontId="7" fillId="0" borderId="0" xfId="43" applyFont="1" applyAlignment="1">
      <alignment horizontal="center"/>
    </xf>
    <xf numFmtId="167" fontId="60" fillId="0" borderId="0" xfId="39" applyNumberFormat="1" applyFont="1" applyAlignment="1">
      <alignment horizontal="center"/>
    </xf>
    <xf numFmtId="37" fontId="61" fillId="0" borderId="0" xfId="39" applyNumberFormat="1" applyFont="1" applyAlignment="1">
      <alignment horizontal="center"/>
    </xf>
    <xf numFmtId="9" fontId="61" fillId="0" borderId="0" xfId="39" applyNumberFormat="1" applyFont="1" applyAlignment="1">
      <alignment horizontal="center"/>
    </xf>
    <xf numFmtId="0" fontId="43" fillId="0" borderId="62" xfId="41" applyFont="1" applyBorder="1"/>
    <xf numFmtId="0" fontId="51" fillId="0" borderId="22" xfId="41" applyFont="1" applyBorder="1" applyAlignment="1">
      <alignment horizontal="center"/>
    </xf>
    <xf numFmtId="0" fontId="51" fillId="0" borderId="2" xfId="41" applyFont="1" applyBorder="1" applyAlignment="1">
      <alignment horizontal="center"/>
    </xf>
    <xf numFmtId="0" fontId="51" fillId="0" borderId="14" xfId="41" applyFont="1" applyBorder="1" applyAlignment="1">
      <alignment horizontal="center"/>
    </xf>
    <xf numFmtId="0" fontId="1" fillId="0" borderId="44" xfId="41" applyFont="1" applyBorder="1" applyAlignment="1">
      <alignment horizontal="centerContinuous"/>
    </xf>
    <xf numFmtId="0" fontId="30" fillId="11" borderId="6" xfId="41" applyFont="1" applyFill="1" applyBorder="1"/>
    <xf numFmtId="0" fontId="29" fillId="11" borderId="6" xfId="41" applyFont="1" applyFill="1" applyBorder="1"/>
    <xf numFmtId="0" fontId="52" fillId="0" borderId="65" xfId="41" applyFont="1" applyBorder="1" applyAlignment="1">
      <alignment horizontal="center" vertical="center"/>
    </xf>
    <xf numFmtId="0" fontId="52" fillId="0" borderId="66" xfId="41" applyFont="1" applyBorder="1" applyAlignment="1">
      <alignment horizontal="center" vertical="center"/>
    </xf>
    <xf numFmtId="0" fontId="39" fillId="0" borderId="8" xfId="41" applyFont="1" applyBorder="1" applyAlignment="1">
      <alignment horizontal="left" vertical="top" wrapText="1"/>
    </xf>
    <xf numFmtId="0" fontId="33" fillId="11" borderId="4" xfId="41" applyFont="1" applyFill="1" applyBorder="1" applyAlignment="1">
      <alignment horizontal="center"/>
    </xf>
    <xf numFmtId="0" fontId="33" fillId="11" borderId="5" xfId="41" applyFont="1" applyFill="1" applyBorder="1" applyAlignment="1">
      <alignment horizontal="center"/>
    </xf>
    <xf numFmtId="0" fontId="40" fillId="0" borderId="8" xfId="41" applyFont="1" applyBorder="1" applyAlignment="1">
      <alignment horizontal="left" vertical="top" wrapText="1"/>
    </xf>
    <xf numFmtId="0" fontId="26" fillId="0" borderId="8" xfId="40" applyBorder="1" applyAlignment="1">
      <alignment horizontal="left" vertical="top" wrapText="1"/>
    </xf>
    <xf numFmtId="0" fontId="52" fillId="0" borderId="61" xfId="41" applyFont="1" applyBorder="1" applyAlignment="1">
      <alignment horizontal="center" vertical="center"/>
    </xf>
    <xf numFmtId="0" fontId="52" fillId="0" borderId="58" xfId="41" applyFont="1" applyBorder="1" applyAlignment="1">
      <alignment horizontal="center" vertical="center"/>
    </xf>
    <xf numFmtId="0" fontId="52" fillId="0" borderId="3" xfId="41" applyFont="1" applyBorder="1" applyAlignment="1">
      <alignment horizontal="center" vertical="center"/>
    </xf>
    <xf numFmtId="0" fontId="52" fillId="0" borderId="17" xfId="41" applyFont="1" applyBorder="1" applyAlignment="1">
      <alignment horizontal="center" vertical="center"/>
    </xf>
    <xf numFmtId="0" fontId="5" fillId="0" borderId="19" xfId="41" applyFont="1" applyBorder="1" applyAlignment="1">
      <alignment horizontal="center" vertical="top" wrapText="1"/>
    </xf>
    <xf numFmtId="0" fontId="2" fillId="0" borderId="19" xfId="41" applyFont="1" applyBorder="1" applyAlignment="1">
      <alignment horizontal="center" vertical="top" wrapText="1"/>
    </xf>
    <xf numFmtId="0" fontId="26" fillId="0" borderId="12" xfId="41" applyFont="1" applyBorder="1" applyAlignment="1">
      <alignment horizontal="center" vertical="top"/>
    </xf>
    <xf numFmtId="0" fontId="5" fillId="0" borderId="33" xfId="41" applyFont="1" applyBorder="1" applyAlignment="1">
      <alignment horizontal="center" vertical="top" wrapText="1"/>
    </xf>
    <xf numFmtId="0" fontId="1" fillId="0" borderId="19" xfId="41" applyFont="1" applyBorder="1" applyAlignment="1">
      <alignment horizontal="center" vertical="top" wrapText="1"/>
    </xf>
    <xf numFmtId="167" fontId="2" fillId="0" borderId="47" xfId="1" applyNumberFormat="1" applyFont="1" applyBorder="1" applyAlignment="1">
      <alignment horizontal="left" wrapText="1"/>
    </xf>
    <xf numFmtId="167" fontId="2" fillId="0" borderId="0" xfId="1" applyNumberFormat="1" applyFont="1" applyBorder="1" applyAlignment="1">
      <alignment horizontal="left" wrapText="1"/>
    </xf>
    <xf numFmtId="3" fontId="5" fillId="8" borderId="4" xfId="41" applyNumberFormat="1" applyFont="1" applyFill="1" applyBorder="1" applyAlignment="1">
      <alignment horizontal="center"/>
    </xf>
    <xf numFmtId="3" fontId="5" fillId="8" borderId="63" xfId="41" applyNumberFormat="1" applyFont="1" applyFill="1" applyBorder="1" applyAlignment="1">
      <alignment horizontal="center"/>
    </xf>
    <xf numFmtId="0" fontId="5" fillId="0" borderId="45" xfId="41" applyFont="1" applyBorder="1" applyAlignment="1">
      <alignment horizontal="center"/>
    </xf>
    <xf numFmtId="0" fontId="26" fillId="0" borderId="5" xfId="41" applyFont="1" applyBorder="1"/>
    <xf numFmtId="0" fontId="26" fillId="0" borderId="0" xfId="41" applyFont="1" applyAlignment="1">
      <alignment horizontal="center"/>
    </xf>
    <xf numFmtId="167" fontId="2" fillId="0" borderId="0" xfId="1" applyNumberFormat="1" applyFont="1" applyBorder="1" applyAlignment="1">
      <alignment horizontal="left" vertical="center" wrapText="1"/>
    </xf>
    <xf numFmtId="167" fontId="2" fillId="0" borderId="47" xfId="1" applyNumberFormat="1" applyFont="1" applyBorder="1" applyAlignment="1">
      <alignment horizontal="left" vertical="center" wrapText="1"/>
    </xf>
    <xf numFmtId="0" fontId="2" fillId="0" borderId="22" xfId="41" applyFont="1" applyBorder="1" applyAlignment="1">
      <alignment horizontal="center" vertical="center"/>
    </xf>
    <xf numFmtId="0" fontId="2" fillId="0" borderId="58" xfId="41" applyFont="1" applyBorder="1" applyAlignment="1">
      <alignment horizontal="center" vertical="center"/>
    </xf>
    <xf numFmtId="0" fontId="2" fillId="0" borderId="14" xfId="41" applyFont="1" applyBorder="1" applyAlignment="1">
      <alignment horizontal="center" vertical="center"/>
    </xf>
    <xf numFmtId="0" fontId="2" fillId="0" borderId="17" xfId="41" applyFont="1" applyBorder="1" applyAlignment="1">
      <alignment horizontal="center" vertical="center"/>
    </xf>
    <xf numFmtId="0" fontId="26" fillId="0" borderId="2" xfId="41" applyFont="1" applyBorder="1" applyAlignment="1">
      <alignment horizontal="center" vertical="center"/>
    </xf>
    <xf numFmtId="0" fontId="26" fillId="0" borderId="3" xfId="41" applyFont="1" applyBorder="1" applyAlignment="1">
      <alignment horizontal="center" vertical="center"/>
    </xf>
    <xf numFmtId="0" fontId="26" fillId="0" borderId="22" xfId="41" applyFont="1" applyBorder="1" applyAlignment="1">
      <alignment horizontal="center" vertical="center"/>
    </xf>
    <xf numFmtId="0" fontId="26" fillId="0" borderId="58" xfId="41" applyFont="1" applyBorder="1" applyAlignment="1">
      <alignment horizontal="center" vertical="center"/>
    </xf>
    <xf numFmtId="0" fontId="26" fillId="0" borderId="14" xfId="41" applyFont="1" applyBorder="1" applyAlignment="1">
      <alignment horizontal="center" vertical="center"/>
    </xf>
    <xf numFmtId="0" fontId="26" fillId="0" borderId="17" xfId="41" applyFont="1" applyBorder="1" applyAlignment="1">
      <alignment horizontal="center" vertical="center"/>
    </xf>
  </cellXfs>
  <cellStyles count="65">
    <cellStyle name="Comma" xfId="1" builtinId="3"/>
    <cellStyle name="Comma 10" xfId="2" xr:uid="{00000000-0005-0000-0000-000001000000}"/>
    <cellStyle name="Comma 2" xfId="3" xr:uid="{00000000-0005-0000-0000-000002000000}"/>
    <cellStyle name="Comma 2 2" xfId="4" xr:uid="{00000000-0005-0000-0000-000003000000}"/>
    <cellStyle name="Comma 2 2 2" xfId="5" xr:uid="{00000000-0005-0000-0000-000004000000}"/>
    <cellStyle name="Comma 2 2_Credit Scoring_2012" xfId="6" xr:uid="{00000000-0005-0000-0000-000005000000}"/>
    <cellStyle name="Comma 2 3" xfId="7" xr:uid="{00000000-0005-0000-0000-000006000000}"/>
    <cellStyle name="Comma 2_Formula Sports, Inc." xfId="8" xr:uid="{00000000-0005-0000-0000-000007000000}"/>
    <cellStyle name="Comma 3" xfId="9" xr:uid="{00000000-0005-0000-0000-000008000000}"/>
    <cellStyle name="Comma 3 2" xfId="10" xr:uid="{00000000-0005-0000-0000-000009000000}"/>
    <cellStyle name="Comma 3_Queries answer(A)" xfId="11" xr:uid="{00000000-0005-0000-0000-00000A000000}"/>
    <cellStyle name="Comma 4" xfId="12" xr:uid="{00000000-0005-0000-0000-00000B000000}"/>
    <cellStyle name="Comma 5" xfId="13" xr:uid="{00000000-0005-0000-0000-00000C000000}"/>
    <cellStyle name="Comma 5 2" xfId="14" xr:uid="{00000000-0005-0000-0000-00000D000000}"/>
    <cellStyle name="Comma 5_Queries answer(A)" xfId="15" xr:uid="{00000000-0005-0000-0000-00000E000000}"/>
    <cellStyle name="Comma 6" xfId="16" xr:uid="{00000000-0005-0000-0000-00000F000000}"/>
    <cellStyle name="Comma 7" xfId="17" xr:uid="{00000000-0005-0000-0000-000010000000}"/>
    <cellStyle name="Comma 8" xfId="18" xr:uid="{00000000-0005-0000-0000-000011000000}"/>
    <cellStyle name="Currency 2" xfId="19" xr:uid="{00000000-0005-0000-0000-000012000000}"/>
    <cellStyle name="FRxAmtStyle" xfId="20" xr:uid="{00000000-0005-0000-0000-000013000000}"/>
    <cellStyle name="FRxCurrStyle" xfId="21" xr:uid="{00000000-0005-0000-0000-000014000000}"/>
    <cellStyle name="FRxPcntStyle" xfId="22" xr:uid="{00000000-0005-0000-0000-000015000000}"/>
    <cellStyle name="Grey" xfId="23" xr:uid="{00000000-0005-0000-0000-000016000000}"/>
    <cellStyle name="Hyperlink 2" xfId="24" xr:uid="{00000000-0005-0000-0000-000017000000}"/>
    <cellStyle name="Input [yellow]" xfId="25" xr:uid="{00000000-0005-0000-0000-000018000000}"/>
    <cellStyle name="Normal" xfId="0" builtinId="0"/>
    <cellStyle name="Normal - Style1" xfId="26" xr:uid="{00000000-0005-0000-0000-00001A000000}"/>
    <cellStyle name="Normal 10" xfId="27" xr:uid="{00000000-0005-0000-0000-00001B000000}"/>
    <cellStyle name="Normal 2" xfId="28" xr:uid="{00000000-0005-0000-0000-00001C000000}"/>
    <cellStyle name="Normal 2 2" xfId="29" xr:uid="{00000000-0005-0000-0000-00001D000000}"/>
    <cellStyle name="Normal 3" xfId="30" xr:uid="{00000000-0005-0000-0000-00001E000000}"/>
    <cellStyle name="Normal 3 2" xfId="31" xr:uid="{00000000-0005-0000-0000-00001F000000}"/>
    <cellStyle name="Normal 3_Credit Scoring_2012" xfId="32" xr:uid="{00000000-0005-0000-0000-000020000000}"/>
    <cellStyle name="Normal 4" xfId="33" xr:uid="{00000000-0005-0000-0000-000021000000}"/>
    <cellStyle name="Normal 5" xfId="34" xr:uid="{00000000-0005-0000-0000-000022000000}"/>
    <cellStyle name="Normal 6" xfId="35" xr:uid="{00000000-0005-0000-0000-000023000000}"/>
    <cellStyle name="Normal 7" xfId="36" xr:uid="{00000000-0005-0000-0000-000024000000}"/>
    <cellStyle name="Normal 8" xfId="37" xr:uid="{00000000-0005-0000-0000-000025000000}"/>
    <cellStyle name="Normal 9" xfId="38" xr:uid="{00000000-0005-0000-0000-000026000000}"/>
    <cellStyle name="Normal_AMA Credit Scoring_2013" xfId="39" xr:uid="{00000000-0005-0000-0000-000027000000}"/>
    <cellStyle name="Normal_Credit Scoring_TECI_2012" xfId="40" xr:uid="{00000000-0005-0000-0000-000028000000}"/>
    <cellStyle name="Normal_Credit Scoring_White Gold" xfId="41" xr:uid="{00000000-0005-0000-0000-000029000000}"/>
    <cellStyle name="Normal_MAY 22, 2013 CREDIT SCORING fibertex" xfId="42" xr:uid="{00000000-0005-0000-0000-00002A000000}"/>
    <cellStyle name="Normal_PGA_AMA Credit Scoring_2013" xfId="43" xr:uid="{00000000-0005-0000-0000-00002D000000}"/>
    <cellStyle name="Normal_Revised Credit Score Sheet-09.29.2011 version 5" xfId="44" xr:uid="{00000000-0005-0000-0000-00002E000000}"/>
    <cellStyle name="Percent [2]" xfId="45" xr:uid="{00000000-0005-0000-0000-000030000000}"/>
    <cellStyle name="Percent 2" xfId="46" xr:uid="{00000000-0005-0000-0000-000031000000}"/>
    <cellStyle name="Percent 2 2" xfId="47" xr:uid="{00000000-0005-0000-0000-000032000000}"/>
    <cellStyle name="Percent 2 3" xfId="48" xr:uid="{00000000-0005-0000-0000-000033000000}"/>
    <cellStyle name="Percent 2 4" xfId="49" xr:uid="{00000000-0005-0000-0000-000034000000}"/>
    <cellStyle name="Percent 3" xfId="50" xr:uid="{00000000-0005-0000-0000-000035000000}"/>
    <cellStyle name="Percent 3 2" xfId="51" xr:uid="{00000000-0005-0000-0000-000036000000}"/>
    <cellStyle name="Percent 4" xfId="52" xr:uid="{00000000-0005-0000-0000-000037000000}"/>
    <cellStyle name="Percent 4 2" xfId="53" xr:uid="{00000000-0005-0000-0000-000038000000}"/>
    <cellStyle name="Percent 5" xfId="54" xr:uid="{00000000-0005-0000-0000-000039000000}"/>
    <cellStyle name="Percent 6" xfId="55" xr:uid="{00000000-0005-0000-0000-00003A000000}"/>
    <cellStyle name="Percent 7" xfId="56" xr:uid="{00000000-0005-0000-0000-00003B000000}"/>
    <cellStyle name="STYLE1" xfId="57" xr:uid="{00000000-0005-0000-0000-00003C000000}"/>
    <cellStyle name="STYLE2" xfId="58" xr:uid="{00000000-0005-0000-0000-00003D000000}"/>
    <cellStyle name="STYLE3" xfId="59" xr:uid="{00000000-0005-0000-0000-00003E000000}"/>
    <cellStyle name="STYLE4" xfId="60" xr:uid="{00000000-0005-0000-0000-00003F000000}"/>
    <cellStyle name="STYLE5" xfId="61" xr:uid="{00000000-0005-0000-0000-000040000000}"/>
    <cellStyle name="STYLE6" xfId="62" xr:uid="{00000000-0005-0000-0000-000041000000}"/>
    <cellStyle name="STYLE7" xfId="63" xr:uid="{00000000-0005-0000-0000-000042000000}"/>
    <cellStyle name="STYLE8" xfId="64" xr:uid="{00000000-0005-0000-0000-000043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haredStrings" Target="sharedStrings.xml"/><Relationship Id="rId5" Type="http://schemas.openxmlformats.org/officeDocument/2006/relationships/externalLink" Target="externalLinks/externalLink3.xml"/><Relationship Id="rId10"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Documents%20and%20Settings/RSBachicha/Local%20Settings/Temporary%20Internet%20Files/Content.IE5/8A0QN52H/Credit%20Scoring_White%20Gol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Users/pdr0759/AppData/Local/Microsoft/Windows/Temporary%20Internet%20Files/OLK572D/report%20template/Corporate%20(templat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Y:/Asia%20Trust%20Folder/Documents%20and%20Settings/Microsoft/My%20Documents/FM/FM%20TEMPLA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Asia%20Trust%20Folder/Documents%20and%20Settings/Microsoft/My%20Documents/FM/FM%20TEMPL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back%20up/NBG%20&amp;%20Co8/CashPo/CashPo_Sep0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Y:/Documents%20and%20Settings/Administrator/Local%20Settings/Temporary%20Internet%20Files/Content.IE5/KH6RWTQF/Asia%20Trust%20Folder/Documents%20and%20Settings/Microsoft/My%20Documents/FM/FM%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gi&amp;s2011"/>
      <sheetName val="Revised BRR"/>
      <sheetName val="Revised LER"/>
      <sheetName val="Revised Int Rate"/>
      <sheetName val="Sheet1"/>
    </sheetNames>
    <sheetDataSet>
      <sheetData sheetId="0" refreshError="1"/>
      <sheetData sheetId="1" refreshError="1">
        <row r="127">
          <cell r="E127">
            <v>74</v>
          </cell>
        </row>
        <row r="157">
          <cell r="E157" t="str">
            <v>BBB</v>
          </cell>
        </row>
      </sheetData>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er"/>
      <sheetName val="brr"/>
      <sheetName val="ler"/>
      <sheetName val="int"/>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e file!!!"/>
      <sheetName val="Asset depreciation"/>
      <sheetName val="ffm15model"/>
      <sheetName val="ffm17model"/>
    </sheetNames>
    <sheetDataSet>
      <sheetData sheetId="0"/>
      <sheetData sheetId="1">
        <row r="2">
          <cell r="F2" t="str">
            <v>[Date]</v>
          </cell>
        </row>
        <row r="7">
          <cell r="F7">
            <v>1.5</v>
          </cell>
        </row>
        <row r="8">
          <cell r="F8" t="str">
            <v>Declining Balance</v>
          </cell>
        </row>
        <row r="9">
          <cell r="F9">
            <v>150</v>
          </cell>
        </row>
        <row r="10">
          <cell r="B10">
            <v>2</v>
          </cell>
          <cell r="F10">
            <v>127.5</v>
          </cell>
        </row>
        <row r="15">
          <cell r="F15">
            <v>56.572427343749979</v>
          </cell>
        </row>
        <row r="16">
          <cell r="F16">
            <v>48.086563242187481</v>
          </cell>
        </row>
        <row r="17">
          <cell r="F17">
            <v>40.873578755859356</v>
          </cell>
        </row>
        <row r="18">
          <cell r="F18">
            <v>34.74254194248045</v>
          </cell>
        </row>
        <row r="19">
          <cell r="F19" t="str">
            <v/>
          </cell>
        </row>
        <row r="20">
          <cell r="B20" t="str">
            <v/>
          </cell>
          <cell r="F20" t="str">
            <v/>
          </cell>
        </row>
        <row r="25">
          <cell r="F25" t="str">
            <v/>
          </cell>
        </row>
        <row r="26">
          <cell r="F26" t="str">
            <v/>
          </cell>
        </row>
        <row r="27">
          <cell r="F27" t="str">
            <v/>
          </cell>
        </row>
        <row r="28">
          <cell r="F28" t="str">
            <v/>
          </cell>
        </row>
        <row r="29">
          <cell r="F29" t="str">
            <v/>
          </cell>
        </row>
        <row r="30">
          <cell r="B30" t="str">
            <v/>
          </cell>
          <cell r="F30" t="str">
            <v/>
          </cell>
        </row>
      </sheetData>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e file!!!"/>
      <sheetName val="Asset depreciation"/>
      <sheetName val="ffm15model"/>
      <sheetName val="ffm17model"/>
    </sheetNames>
    <sheetDataSet>
      <sheetData sheetId="0"/>
      <sheetData sheetId="1">
        <row r="2">
          <cell r="F2" t="str">
            <v>[Date]</v>
          </cell>
        </row>
        <row r="7">
          <cell r="F7">
            <v>1.5</v>
          </cell>
        </row>
        <row r="8">
          <cell r="F8" t="str">
            <v>Declining Balance</v>
          </cell>
        </row>
        <row r="9">
          <cell r="F9">
            <v>150</v>
          </cell>
        </row>
        <row r="10">
          <cell r="B10">
            <v>2</v>
          </cell>
          <cell r="F10">
            <v>127.5</v>
          </cell>
        </row>
        <row r="15">
          <cell r="F15">
            <v>56.572427343749979</v>
          </cell>
        </row>
        <row r="16">
          <cell r="F16">
            <v>48.086563242187481</v>
          </cell>
        </row>
        <row r="17">
          <cell r="F17">
            <v>40.873578755859356</v>
          </cell>
        </row>
        <row r="18">
          <cell r="F18">
            <v>34.74254194248045</v>
          </cell>
        </row>
        <row r="19">
          <cell r="F19" t="str">
            <v/>
          </cell>
        </row>
        <row r="20">
          <cell r="B20" t="str">
            <v/>
          </cell>
          <cell r="F20" t="str">
            <v/>
          </cell>
        </row>
        <row r="25">
          <cell r="F25" t="str">
            <v/>
          </cell>
        </row>
        <row r="26">
          <cell r="F26" t="str">
            <v/>
          </cell>
        </row>
        <row r="27">
          <cell r="F27" t="str">
            <v/>
          </cell>
        </row>
        <row r="28">
          <cell r="F28" t="str">
            <v/>
          </cell>
        </row>
        <row r="29">
          <cell r="F29" t="str">
            <v/>
          </cell>
        </row>
        <row r="30">
          <cell r="B30" t="str">
            <v/>
          </cell>
          <cell r="F30" t="str">
            <v/>
          </cell>
        </row>
      </sheetData>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BG Sep09"/>
      <sheetName val="Co8_Sep09"/>
      <sheetName val="Exp from Sales"/>
      <sheetName val="Alloted Payables"/>
      <sheetName val="CIB"/>
      <sheetName val="Robinsons Supermarket"/>
      <sheetName val="Alloted payable"/>
      <sheetName val="Sheet2"/>
      <sheetName val="Sheet3"/>
    </sheetNames>
    <sheetDataSet>
      <sheetData sheetId="0">
        <row r="1">
          <cell r="A1" t="str">
            <v>NBG Bavarian Specialties, Inc.</v>
          </cell>
        </row>
        <row r="2">
          <cell r="A2" t="str">
            <v xml:space="preserve">Cash Position </v>
          </cell>
        </row>
        <row r="3">
          <cell r="A3">
            <v>40079.379493402776</v>
          </cell>
        </row>
        <row r="5">
          <cell r="M5">
            <v>40057</v>
          </cell>
          <cell r="P5">
            <v>40058</v>
          </cell>
          <cell r="S5">
            <v>40059</v>
          </cell>
          <cell r="V5">
            <v>40060</v>
          </cell>
          <cell r="Y5">
            <v>40061</v>
          </cell>
          <cell r="AB5">
            <v>40062</v>
          </cell>
          <cell r="AE5">
            <v>40063</v>
          </cell>
          <cell r="AH5">
            <v>40064</v>
          </cell>
          <cell r="AK5">
            <v>40065</v>
          </cell>
          <cell r="AN5">
            <v>40066</v>
          </cell>
          <cell r="AQ5">
            <v>40067</v>
          </cell>
          <cell r="AT5">
            <v>40068</v>
          </cell>
          <cell r="AW5">
            <v>40069</v>
          </cell>
          <cell r="AZ5">
            <v>40070</v>
          </cell>
          <cell r="BC5">
            <v>40071</v>
          </cell>
          <cell r="BF5">
            <v>40072</v>
          </cell>
          <cell r="BI5">
            <v>40073</v>
          </cell>
          <cell r="BL5">
            <v>40074</v>
          </cell>
          <cell r="BO5">
            <v>40075</v>
          </cell>
          <cell r="BR5">
            <v>40076</v>
          </cell>
          <cell r="BU5">
            <v>40077</v>
          </cell>
          <cell r="BX5">
            <v>40078</v>
          </cell>
          <cell r="CA5">
            <v>40079</v>
          </cell>
          <cell r="CD5">
            <v>40080</v>
          </cell>
          <cell r="CG5">
            <v>40081</v>
          </cell>
          <cell r="CJ5">
            <v>40082</v>
          </cell>
          <cell r="CM5">
            <v>40083</v>
          </cell>
          <cell r="CP5">
            <v>40084</v>
          </cell>
          <cell r="CS5">
            <v>40085</v>
          </cell>
          <cell r="CV5">
            <v>40086</v>
          </cell>
          <cell r="CY5" t="str">
            <v>Ending Balance</v>
          </cell>
          <cell r="DB5" t="str">
            <v>To Check</v>
          </cell>
          <cell r="DC5" t="str">
            <v>Remarks</v>
          </cell>
          <cell r="DE5">
            <v>21161.19</v>
          </cell>
        </row>
        <row r="6">
          <cell r="A6" t="str">
            <v>Beg. Balance</v>
          </cell>
          <cell r="L6">
            <v>189924.59999999998</v>
          </cell>
          <cell r="M6">
            <v>99346.18</v>
          </cell>
          <cell r="N6">
            <v>90578.42</v>
          </cell>
          <cell r="O6">
            <v>0</v>
          </cell>
          <cell r="P6">
            <v>99346.18</v>
          </cell>
          <cell r="Q6">
            <v>90578.42</v>
          </cell>
          <cell r="R6">
            <v>0</v>
          </cell>
          <cell r="S6">
            <v>-117648.05000000002</v>
          </cell>
          <cell r="T6">
            <v>-29480.988100000002</v>
          </cell>
          <cell r="U6">
            <v>0</v>
          </cell>
          <cell r="V6">
            <v>-183544.33000000002</v>
          </cell>
          <cell r="W6">
            <v>22479.229549999996</v>
          </cell>
          <cell r="X6">
            <v>0</v>
          </cell>
          <cell r="Y6">
            <v>-277316.09999999998</v>
          </cell>
          <cell r="Z6">
            <v>44829.214449999999</v>
          </cell>
          <cell r="AA6">
            <v>0</v>
          </cell>
          <cell r="AB6">
            <v>-277316.09999999998</v>
          </cell>
          <cell r="AC6">
            <v>85351.149150000012</v>
          </cell>
          <cell r="AD6">
            <v>0</v>
          </cell>
          <cell r="AE6">
            <v>-228920.34</v>
          </cell>
          <cell r="AF6">
            <v>136448.31965000002</v>
          </cell>
          <cell r="AG6">
            <v>0</v>
          </cell>
          <cell r="AH6">
            <v>-733707.42</v>
          </cell>
          <cell r="AI6">
            <v>187621.01995000002</v>
          </cell>
          <cell r="AJ6">
            <v>0</v>
          </cell>
          <cell r="AK6">
            <v>-855682.14</v>
          </cell>
          <cell r="AL6">
            <v>227676.9019</v>
          </cell>
          <cell r="AM6">
            <v>0</v>
          </cell>
          <cell r="AN6">
            <v>-765682.14</v>
          </cell>
          <cell r="AO6">
            <v>227676.9019</v>
          </cell>
          <cell r="AP6">
            <v>0</v>
          </cell>
          <cell r="AQ6">
            <v>-726493.26</v>
          </cell>
          <cell r="AR6">
            <v>-122323.0981</v>
          </cell>
          <cell r="AS6">
            <v>0</v>
          </cell>
          <cell r="AT6">
            <v>-726493.26</v>
          </cell>
          <cell r="AU6">
            <v>-122323.0981</v>
          </cell>
          <cell r="AV6">
            <v>0</v>
          </cell>
          <cell r="AW6">
            <v>-759209.73</v>
          </cell>
          <cell r="AX6">
            <v>-151548.5981</v>
          </cell>
          <cell r="AY6">
            <v>0</v>
          </cell>
          <cell r="AZ6">
            <v>-794409.73</v>
          </cell>
          <cell r="BA6">
            <v>-151548.5981</v>
          </cell>
          <cell r="BB6">
            <v>0</v>
          </cell>
          <cell r="BC6">
            <v>-1065991.5274</v>
          </cell>
          <cell r="BD6">
            <v>-151548.5981</v>
          </cell>
          <cell r="BE6">
            <v>0</v>
          </cell>
          <cell r="BF6">
            <v>-1136563.3174000001</v>
          </cell>
          <cell r="BG6">
            <v>-151548.5981</v>
          </cell>
          <cell r="BH6">
            <v>0</v>
          </cell>
          <cell r="BI6">
            <v>-1136563.3174000001</v>
          </cell>
          <cell r="BJ6">
            <v>-151548.5981</v>
          </cell>
          <cell r="BK6">
            <v>0</v>
          </cell>
          <cell r="BL6">
            <v>-1158499.0974000001</v>
          </cell>
          <cell r="BM6">
            <v>-151548.5981</v>
          </cell>
          <cell r="BN6">
            <v>0</v>
          </cell>
          <cell r="BO6">
            <v>-1188075.0174</v>
          </cell>
          <cell r="BP6">
            <v>-551548.59810000006</v>
          </cell>
          <cell r="BQ6">
            <v>0</v>
          </cell>
          <cell r="BR6">
            <v>-1236887.6873999999</v>
          </cell>
          <cell r="BS6">
            <v>-551548.59810000006</v>
          </cell>
          <cell r="BT6">
            <v>0</v>
          </cell>
          <cell r="BU6">
            <v>-1341057.1873999999</v>
          </cell>
          <cell r="BV6">
            <v>-551548.59810000006</v>
          </cell>
          <cell r="BW6">
            <v>0</v>
          </cell>
          <cell r="BX6">
            <v>-1341057.1873999999</v>
          </cell>
          <cell r="BY6">
            <v>-551548.59810000006</v>
          </cell>
          <cell r="BZ6">
            <v>0</v>
          </cell>
          <cell r="CA6">
            <v>-1341057.1873999999</v>
          </cell>
          <cell r="CB6">
            <v>-551548.59810000006</v>
          </cell>
          <cell r="CC6">
            <v>0</v>
          </cell>
          <cell r="CD6">
            <v>-919084.59739999997</v>
          </cell>
          <cell r="CE6">
            <v>-1051548.5981000001</v>
          </cell>
          <cell r="CF6">
            <v>0</v>
          </cell>
          <cell r="CG6">
            <v>-1219084.5973999999</v>
          </cell>
          <cell r="CH6">
            <v>-1051548.5981000001</v>
          </cell>
          <cell r="CI6">
            <v>0</v>
          </cell>
          <cell r="CJ6">
            <v>-1219084.5973999999</v>
          </cell>
          <cell r="CK6">
            <v>-1051548.5981000001</v>
          </cell>
          <cell r="CL6">
            <v>0</v>
          </cell>
          <cell r="CM6">
            <v>-1219084.5973999999</v>
          </cell>
          <cell r="CN6">
            <v>-1051548.5981000001</v>
          </cell>
          <cell r="CO6">
            <v>0</v>
          </cell>
          <cell r="CP6">
            <v>-1219084.5973999999</v>
          </cell>
          <cell r="CQ6">
            <v>-1051548.5981000001</v>
          </cell>
          <cell r="CR6">
            <v>0</v>
          </cell>
          <cell r="CS6">
            <v>-1219084.5973999999</v>
          </cell>
          <cell r="CT6">
            <v>-1051548.5981000001</v>
          </cell>
          <cell r="CU6">
            <v>0</v>
          </cell>
          <cell r="CV6">
            <v>-1219084.5973999999</v>
          </cell>
          <cell r="CW6">
            <v>-1051548.5981000001</v>
          </cell>
          <cell r="CX6">
            <v>0</v>
          </cell>
          <cell r="DE6">
            <v>0</v>
          </cell>
        </row>
        <row r="7">
          <cell r="M7" t="str">
            <v>BOC</v>
          </cell>
          <cell r="N7" t="str">
            <v>HSBC</v>
          </cell>
          <cell r="O7" t="str">
            <v>UCPB</v>
          </cell>
          <cell r="P7" t="str">
            <v>BOC</v>
          </cell>
          <cell r="Q7" t="str">
            <v>HSBC</v>
          </cell>
          <cell r="R7" t="str">
            <v>UCPB</v>
          </cell>
          <cell r="S7" t="str">
            <v>BOC</v>
          </cell>
          <cell r="T7" t="str">
            <v>HSBC</v>
          </cell>
          <cell r="U7" t="str">
            <v>UCPB</v>
          </cell>
          <cell r="V7" t="str">
            <v>BOC</v>
          </cell>
          <cell r="W7" t="str">
            <v>HSBC</v>
          </cell>
          <cell r="X7" t="str">
            <v>UCPB</v>
          </cell>
          <cell r="Y7" t="str">
            <v>BOC</v>
          </cell>
          <cell r="Z7" t="str">
            <v>HSBC</v>
          </cell>
          <cell r="AA7" t="str">
            <v>UCPB</v>
          </cell>
          <cell r="AB7" t="str">
            <v>BOC</v>
          </cell>
          <cell r="AC7" t="str">
            <v>HSBC</v>
          </cell>
          <cell r="AD7" t="str">
            <v>UCPB</v>
          </cell>
          <cell r="AE7" t="str">
            <v>BOC</v>
          </cell>
          <cell r="AF7" t="str">
            <v>HSBC</v>
          </cell>
          <cell r="AG7" t="str">
            <v>UCPB</v>
          </cell>
          <cell r="AH7" t="str">
            <v>BOC</v>
          </cell>
          <cell r="AI7" t="str">
            <v>HSBC</v>
          </cell>
          <cell r="AJ7" t="str">
            <v>UCPB</v>
          </cell>
          <cell r="AK7" t="str">
            <v>BOC</v>
          </cell>
          <cell r="AL7" t="str">
            <v>HSBC</v>
          </cell>
          <cell r="AM7" t="str">
            <v>UCPB</v>
          </cell>
          <cell r="AN7" t="str">
            <v>BOC</v>
          </cell>
          <cell r="AO7" t="str">
            <v>HSBC</v>
          </cell>
          <cell r="AP7" t="str">
            <v>UCPB</v>
          </cell>
          <cell r="AQ7" t="str">
            <v>BOC</v>
          </cell>
          <cell r="AR7" t="str">
            <v>HSBC</v>
          </cell>
          <cell r="AS7" t="str">
            <v>UCPB</v>
          </cell>
          <cell r="AT7" t="str">
            <v>BOC</v>
          </cell>
          <cell r="AU7" t="str">
            <v>HSBC</v>
          </cell>
          <cell r="AV7" t="str">
            <v>UCPB</v>
          </cell>
          <cell r="AW7" t="str">
            <v>BOC</v>
          </cell>
          <cell r="AX7" t="str">
            <v>HSBC</v>
          </cell>
          <cell r="AY7" t="str">
            <v>UCPB</v>
          </cell>
          <cell r="AZ7" t="str">
            <v>BOC</v>
          </cell>
          <cell r="BA7" t="str">
            <v>HSBC</v>
          </cell>
          <cell r="BB7" t="str">
            <v>UCPB</v>
          </cell>
          <cell r="BC7" t="str">
            <v>BOC</v>
          </cell>
          <cell r="BD7" t="str">
            <v>HSBC</v>
          </cell>
          <cell r="BE7" t="str">
            <v>UCPB</v>
          </cell>
          <cell r="BF7" t="str">
            <v>BOC</v>
          </cell>
          <cell r="BG7" t="str">
            <v>HSBC</v>
          </cell>
          <cell r="BH7" t="str">
            <v>UCPB</v>
          </cell>
          <cell r="BI7" t="str">
            <v>BOC</v>
          </cell>
          <cell r="BJ7" t="str">
            <v>HSBC</v>
          </cell>
          <cell r="BK7" t="str">
            <v>UCPB</v>
          </cell>
          <cell r="BL7" t="str">
            <v>BOC</v>
          </cell>
          <cell r="BM7" t="str">
            <v>HSBC</v>
          </cell>
          <cell r="BN7" t="str">
            <v>UCPB</v>
          </cell>
          <cell r="BO7" t="str">
            <v>BOC</v>
          </cell>
          <cell r="BP7" t="str">
            <v>HSBC</v>
          </cell>
          <cell r="BQ7" t="str">
            <v>UCPB</v>
          </cell>
          <cell r="BR7" t="str">
            <v>BOC</v>
          </cell>
          <cell r="BS7" t="str">
            <v>HSBC</v>
          </cell>
          <cell r="BT7" t="str">
            <v>UCPB</v>
          </cell>
          <cell r="BU7" t="str">
            <v>BOC</v>
          </cell>
          <cell r="BV7" t="str">
            <v>HSBC</v>
          </cell>
          <cell r="BW7" t="str">
            <v>UCPB</v>
          </cell>
          <cell r="BX7" t="str">
            <v>BOC</v>
          </cell>
          <cell r="BY7" t="str">
            <v>HSBC</v>
          </cell>
          <cell r="BZ7" t="str">
            <v>UCPB</v>
          </cell>
          <cell r="CA7" t="str">
            <v>BOC</v>
          </cell>
          <cell r="CB7" t="str">
            <v>HSBC</v>
          </cell>
          <cell r="CC7" t="str">
            <v>UCPB</v>
          </cell>
          <cell r="CD7" t="str">
            <v>BOC</v>
          </cell>
          <cell r="CE7" t="str">
            <v>HSBC</v>
          </cell>
          <cell r="CF7" t="str">
            <v>UCPB</v>
          </cell>
          <cell r="CG7" t="str">
            <v>BOC</v>
          </cell>
          <cell r="CH7" t="str">
            <v>HSBC</v>
          </cell>
          <cell r="CI7" t="str">
            <v>UCPB</v>
          </cell>
          <cell r="CJ7" t="str">
            <v>BOC</v>
          </cell>
          <cell r="CK7" t="str">
            <v>HSBC</v>
          </cell>
          <cell r="CL7" t="str">
            <v>UCPB</v>
          </cell>
          <cell r="CM7" t="str">
            <v>BOC</v>
          </cell>
          <cell r="CN7" t="str">
            <v>HSBC</v>
          </cell>
          <cell r="CO7" t="str">
            <v>UCPB</v>
          </cell>
          <cell r="CP7" t="str">
            <v>BOC</v>
          </cell>
          <cell r="CQ7" t="str">
            <v>HSBC</v>
          </cell>
          <cell r="CR7" t="str">
            <v>UCPB</v>
          </cell>
          <cell r="CS7" t="str">
            <v>BOC</v>
          </cell>
          <cell r="CT7" t="str">
            <v>HSBC</v>
          </cell>
          <cell r="CU7" t="str">
            <v>UCPB</v>
          </cell>
          <cell r="CV7" t="str">
            <v>BOC</v>
          </cell>
          <cell r="CW7" t="str">
            <v>HSBC</v>
          </cell>
          <cell r="CX7" t="str">
            <v>UCPB</v>
          </cell>
          <cell r="CY7" t="str">
            <v>BOC</v>
          </cell>
          <cell r="CZ7" t="str">
            <v>HSBC</v>
          </cell>
          <cell r="DA7" t="str">
            <v>UCPB</v>
          </cell>
        </row>
        <row r="8">
          <cell r="A8" t="str">
            <v>DEPOSIT FROM SALES</v>
          </cell>
          <cell r="L8">
            <v>232401.33</v>
          </cell>
        </row>
        <row r="10">
          <cell r="A10" t="str">
            <v>Cash Sales</v>
          </cell>
          <cell r="L10">
            <v>232401.33</v>
          </cell>
        </row>
        <row r="11">
          <cell r="C11" t="str">
            <v>J  u  p  i  t  e  r</v>
          </cell>
        </row>
        <row r="12">
          <cell r="C12">
            <v>251705.57</v>
          </cell>
          <cell r="D12">
            <v>19304.239999999998</v>
          </cell>
          <cell r="E12">
            <v>232401.33</v>
          </cell>
          <cell r="L12">
            <v>232401.33</v>
          </cell>
        </row>
        <row r="13">
          <cell r="A13" t="str">
            <v>Particulars</v>
          </cell>
          <cell r="B13" t="str">
            <v>Sales Date</v>
          </cell>
          <cell r="C13" t="str">
            <v>Cash Sale</v>
          </cell>
          <cell r="D13" t="str">
            <v>Expenses</v>
          </cell>
          <cell r="E13" t="str">
            <v>Amount</v>
          </cell>
          <cell r="F13" t="str">
            <v>Other Income</v>
          </cell>
          <cell r="L13" t="str">
            <v>Amount</v>
          </cell>
        </row>
        <row r="15">
          <cell r="B15">
            <v>40056</v>
          </cell>
        </row>
        <row r="16">
          <cell r="B16">
            <v>40057</v>
          </cell>
          <cell r="C16">
            <v>24584.59</v>
          </cell>
          <cell r="D16">
            <v>5323</v>
          </cell>
          <cell r="E16">
            <v>19261.59</v>
          </cell>
          <cell r="L16">
            <v>19261.59</v>
          </cell>
        </row>
        <row r="17">
          <cell r="B17">
            <v>40058</v>
          </cell>
          <cell r="C17">
            <v>25838.32</v>
          </cell>
          <cell r="D17">
            <v>1166.75</v>
          </cell>
          <cell r="E17">
            <v>24671.57</v>
          </cell>
          <cell r="L17">
            <v>24671.57</v>
          </cell>
        </row>
        <row r="18">
          <cell r="B18">
            <v>40059</v>
          </cell>
          <cell r="C18">
            <v>29189.22</v>
          </cell>
          <cell r="D18">
            <v>2241</v>
          </cell>
          <cell r="E18">
            <v>26948.22</v>
          </cell>
          <cell r="L18">
            <v>26948.22</v>
          </cell>
        </row>
        <row r="19">
          <cell r="B19">
            <v>40060</v>
          </cell>
          <cell r="C19">
            <v>52942.45</v>
          </cell>
          <cell r="D19">
            <v>2070</v>
          </cell>
          <cell r="E19">
            <v>50872.45</v>
          </cell>
          <cell r="L19">
            <v>50872.45</v>
          </cell>
        </row>
        <row r="20">
          <cell r="B20">
            <v>40061</v>
          </cell>
          <cell r="C20">
            <v>59100.86</v>
          </cell>
          <cell r="D20">
            <v>120</v>
          </cell>
          <cell r="E20">
            <v>58980.86</v>
          </cell>
          <cell r="L20">
            <v>58980.86</v>
          </cell>
        </row>
        <row r="21">
          <cell r="B21">
            <v>40062</v>
          </cell>
          <cell r="C21">
            <v>32616.58</v>
          </cell>
          <cell r="D21">
            <v>6051.49</v>
          </cell>
          <cell r="E21">
            <v>26565.090000000004</v>
          </cell>
          <cell r="L21">
            <v>26565.090000000004</v>
          </cell>
        </row>
        <row r="22">
          <cell r="B22">
            <v>40063</v>
          </cell>
          <cell r="C22">
            <v>27433.55</v>
          </cell>
          <cell r="D22">
            <v>2332</v>
          </cell>
          <cell r="E22">
            <v>25101.55</v>
          </cell>
          <cell r="L22">
            <v>25101.55</v>
          </cell>
        </row>
        <row r="23">
          <cell r="B23">
            <v>40064</v>
          </cell>
          <cell r="E23">
            <v>0</v>
          </cell>
          <cell r="L23">
            <v>0</v>
          </cell>
        </row>
        <row r="24">
          <cell r="B24">
            <v>40065</v>
          </cell>
          <cell r="E24">
            <v>0</v>
          </cell>
          <cell r="G24" t="str">
            <v xml:space="preserve"> </v>
          </cell>
          <cell r="L24">
            <v>0</v>
          </cell>
        </row>
        <row r="25">
          <cell r="B25">
            <v>40066</v>
          </cell>
          <cell r="E25">
            <v>0</v>
          </cell>
          <cell r="L25">
            <v>0</v>
          </cell>
        </row>
        <row r="26">
          <cell r="B26">
            <v>40067</v>
          </cell>
          <cell r="E26">
            <v>0</v>
          </cell>
          <cell r="L26">
            <v>0</v>
          </cell>
        </row>
        <row r="27">
          <cell r="B27">
            <v>40068</v>
          </cell>
          <cell r="E27">
            <v>0</v>
          </cell>
          <cell r="L27">
            <v>0</v>
          </cell>
        </row>
        <row r="28">
          <cell r="B28">
            <v>40069</v>
          </cell>
          <cell r="E28">
            <v>0</v>
          </cell>
          <cell r="L28">
            <v>0</v>
          </cell>
        </row>
        <row r="29">
          <cell r="B29">
            <v>40070</v>
          </cell>
          <cell r="E29">
            <v>0</v>
          </cell>
          <cell r="L29">
            <v>0</v>
          </cell>
        </row>
        <row r="30">
          <cell r="B30">
            <v>40071</v>
          </cell>
          <cell r="E30">
            <v>0</v>
          </cell>
          <cell r="L30">
            <v>0</v>
          </cell>
        </row>
        <row r="31">
          <cell r="B31">
            <v>40072</v>
          </cell>
          <cell r="E31">
            <v>0</v>
          </cell>
          <cell r="L31">
            <v>0</v>
          </cell>
        </row>
        <row r="32">
          <cell r="B32">
            <v>40073</v>
          </cell>
          <cell r="E32">
            <v>0</v>
          </cell>
          <cell r="L32">
            <v>0</v>
          </cell>
        </row>
        <row r="33">
          <cell r="B33">
            <v>40074</v>
          </cell>
          <cell r="E33">
            <v>0</v>
          </cell>
          <cell r="L33">
            <v>0</v>
          </cell>
        </row>
        <row r="34">
          <cell r="B34">
            <v>40075</v>
          </cell>
          <cell r="E34">
            <v>0</v>
          </cell>
          <cell r="L34">
            <v>0</v>
          </cell>
        </row>
        <row r="35">
          <cell r="B35">
            <v>40076</v>
          </cell>
          <cell r="E35">
            <v>0</v>
          </cell>
          <cell r="L35">
            <v>0</v>
          </cell>
        </row>
        <row r="36">
          <cell r="B36">
            <v>40077</v>
          </cell>
          <cell r="E36">
            <v>0</v>
          </cell>
          <cell r="L36">
            <v>0</v>
          </cell>
        </row>
        <row r="37">
          <cell r="B37">
            <v>40078</v>
          </cell>
          <cell r="E37">
            <v>0</v>
          </cell>
          <cell r="L37">
            <v>0</v>
          </cell>
        </row>
        <row r="38">
          <cell r="B38">
            <v>40079</v>
          </cell>
          <cell r="E38">
            <v>0</v>
          </cell>
          <cell r="L38">
            <v>0</v>
          </cell>
        </row>
        <row r="39">
          <cell r="B39">
            <v>40080</v>
          </cell>
          <cell r="E39">
            <v>0</v>
          </cell>
          <cell r="L39">
            <v>0</v>
          </cell>
        </row>
        <row r="40">
          <cell r="B40">
            <v>40081</v>
          </cell>
          <cell r="E40">
            <v>0</v>
          </cell>
          <cell r="L40">
            <v>0</v>
          </cell>
        </row>
        <row r="41">
          <cell r="B41">
            <v>40082</v>
          </cell>
          <cell r="E41">
            <v>0</v>
          </cell>
          <cell r="L41">
            <v>0</v>
          </cell>
        </row>
        <row r="42">
          <cell r="B42">
            <v>40083</v>
          </cell>
          <cell r="E42">
            <v>0</v>
          </cell>
          <cell r="L42">
            <v>0</v>
          </cell>
        </row>
        <row r="43">
          <cell r="B43">
            <v>40084</v>
          </cell>
          <cell r="E43">
            <v>0</v>
          </cell>
          <cell r="L43">
            <v>0</v>
          </cell>
        </row>
        <row r="44">
          <cell r="B44">
            <v>40085</v>
          </cell>
          <cell r="E44">
            <v>0</v>
          </cell>
          <cell r="L44">
            <v>0</v>
          </cell>
        </row>
        <row r="45">
          <cell r="B45">
            <v>40086</v>
          </cell>
          <cell r="E45">
            <v>0</v>
          </cell>
          <cell r="L45">
            <v>0</v>
          </cell>
        </row>
        <row r="46">
          <cell r="B46">
            <v>40087</v>
          </cell>
          <cell r="E46">
            <v>0</v>
          </cell>
          <cell r="L46">
            <v>0</v>
          </cell>
        </row>
        <row r="47">
          <cell r="L47">
            <v>0</v>
          </cell>
        </row>
        <row r="48">
          <cell r="L48">
            <v>0</v>
          </cell>
        </row>
        <row r="50">
          <cell r="A50" t="str">
            <v>Credit Card Sales</v>
          </cell>
          <cell r="L50">
            <v>0</v>
          </cell>
        </row>
        <row r="52">
          <cell r="A52" t="str">
            <v>Jupiter</v>
          </cell>
          <cell r="B52" t="str">
            <v>Bank Charge rate</v>
          </cell>
          <cell r="C52">
            <v>1.4999999999999999E-2</v>
          </cell>
          <cell r="L52">
            <v>0</v>
          </cell>
        </row>
        <row r="53">
          <cell r="A53" t="str">
            <v>Particulars</v>
          </cell>
          <cell r="B53" t="str">
            <v>Sales Date</v>
          </cell>
          <cell r="C53" t="str">
            <v>Amount</v>
          </cell>
          <cell r="D53" t="str">
            <v>BC</v>
          </cell>
          <cell r="E53" t="str">
            <v>Amount</v>
          </cell>
        </row>
        <row r="54">
          <cell r="B54">
            <v>40056</v>
          </cell>
          <cell r="D54">
            <v>0</v>
          </cell>
          <cell r="E54">
            <v>0</v>
          </cell>
        </row>
        <row r="55">
          <cell r="B55">
            <v>40057</v>
          </cell>
          <cell r="C55">
            <v>30396.54</v>
          </cell>
          <cell r="D55">
            <v>455.94810000000001</v>
          </cell>
          <cell r="E55">
            <v>29940.591899999999</v>
          </cell>
          <cell r="L55">
            <v>0</v>
          </cell>
        </row>
        <row r="56">
          <cell r="B56">
            <v>40058</v>
          </cell>
          <cell r="C56">
            <v>52751.49</v>
          </cell>
          <cell r="D56">
            <v>791.27234999999996</v>
          </cell>
          <cell r="E56">
            <v>51960.217649999999</v>
          </cell>
          <cell r="L56">
            <v>0</v>
          </cell>
        </row>
        <row r="57">
          <cell r="B57">
            <v>40059</v>
          </cell>
          <cell r="C57">
            <v>22690.34</v>
          </cell>
          <cell r="D57">
            <v>340.35509999999999</v>
          </cell>
          <cell r="E57">
            <v>22349.984899999999</v>
          </cell>
          <cell r="L57">
            <v>0</v>
          </cell>
        </row>
        <row r="58">
          <cell r="B58">
            <v>40060</v>
          </cell>
          <cell r="C58">
            <v>41139.020000000004</v>
          </cell>
          <cell r="D58">
            <v>617.08530000000007</v>
          </cell>
          <cell r="E58">
            <v>40521.934700000005</v>
          </cell>
          <cell r="L58">
            <v>0</v>
          </cell>
        </row>
        <row r="59">
          <cell r="B59">
            <v>40061</v>
          </cell>
          <cell r="C59">
            <v>51875.3</v>
          </cell>
          <cell r="D59">
            <v>778.12950000000001</v>
          </cell>
          <cell r="E59">
            <v>51097.1705</v>
          </cell>
          <cell r="L59">
            <v>0</v>
          </cell>
        </row>
        <row r="60">
          <cell r="B60">
            <v>40062</v>
          </cell>
          <cell r="C60">
            <v>51951.98</v>
          </cell>
          <cell r="D60">
            <v>779.27970000000005</v>
          </cell>
          <cell r="E60">
            <v>51172.700300000004</v>
          </cell>
          <cell r="L60">
            <v>0</v>
          </cell>
        </row>
        <row r="61">
          <cell r="B61">
            <v>40063</v>
          </cell>
          <cell r="C61">
            <v>40665.869999999995</v>
          </cell>
          <cell r="D61">
            <v>609.98804999999993</v>
          </cell>
          <cell r="E61">
            <v>40055.881949999995</v>
          </cell>
          <cell r="L61">
            <v>0</v>
          </cell>
        </row>
        <row r="62">
          <cell r="B62">
            <v>40064</v>
          </cell>
          <cell r="D62">
            <v>0</v>
          </cell>
          <cell r="E62">
            <v>0</v>
          </cell>
          <cell r="L62">
            <v>0</v>
          </cell>
        </row>
        <row r="63">
          <cell r="B63">
            <v>40065</v>
          </cell>
          <cell r="D63">
            <v>0</v>
          </cell>
          <cell r="E63">
            <v>0</v>
          </cell>
          <cell r="L63">
            <v>0</v>
          </cell>
        </row>
        <row r="64">
          <cell r="B64">
            <v>40066</v>
          </cell>
          <cell r="D64">
            <v>0</v>
          </cell>
          <cell r="E64">
            <v>0</v>
          </cell>
          <cell r="L64">
            <v>0</v>
          </cell>
        </row>
        <row r="65">
          <cell r="B65">
            <v>40067</v>
          </cell>
          <cell r="D65">
            <v>0</v>
          </cell>
          <cell r="E65">
            <v>0</v>
          </cell>
          <cell r="L65">
            <v>0</v>
          </cell>
        </row>
        <row r="66">
          <cell r="B66">
            <v>40068</v>
          </cell>
          <cell r="D66">
            <v>0</v>
          </cell>
          <cell r="E66">
            <v>0</v>
          </cell>
          <cell r="L66">
            <v>0</v>
          </cell>
        </row>
        <row r="67">
          <cell r="B67">
            <v>40069</v>
          </cell>
          <cell r="D67">
            <v>0</v>
          </cell>
          <cell r="E67">
            <v>0</v>
          </cell>
          <cell r="L67">
            <v>0</v>
          </cell>
        </row>
        <row r="68">
          <cell r="B68">
            <v>40070</v>
          </cell>
          <cell r="D68">
            <v>0</v>
          </cell>
          <cell r="E68">
            <v>0</v>
          </cell>
          <cell r="L68">
            <v>0</v>
          </cell>
        </row>
        <row r="69">
          <cell r="B69">
            <v>40071</v>
          </cell>
          <cell r="D69">
            <v>0</v>
          </cell>
          <cell r="E69">
            <v>0</v>
          </cell>
          <cell r="L69">
            <v>0</v>
          </cell>
        </row>
        <row r="70">
          <cell r="B70">
            <v>40072</v>
          </cell>
          <cell r="D70">
            <v>0</v>
          </cell>
          <cell r="E70">
            <v>0</v>
          </cell>
          <cell r="L70">
            <v>0</v>
          </cell>
        </row>
        <row r="71">
          <cell r="B71">
            <v>40073</v>
          </cell>
          <cell r="D71">
            <v>0</v>
          </cell>
          <cell r="E71">
            <v>0</v>
          </cell>
          <cell r="L71">
            <v>0</v>
          </cell>
        </row>
        <row r="72">
          <cell r="B72">
            <v>40074</v>
          </cell>
          <cell r="D72">
            <v>0</v>
          </cell>
          <cell r="E72">
            <v>0</v>
          </cell>
          <cell r="L72">
            <v>0</v>
          </cell>
        </row>
        <row r="73">
          <cell r="B73">
            <v>40075</v>
          </cell>
          <cell r="D73">
            <v>0</v>
          </cell>
          <cell r="E73">
            <v>0</v>
          </cell>
          <cell r="L73">
            <v>0</v>
          </cell>
        </row>
        <row r="74">
          <cell r="B74">
            <v>40076</v>
          </cell>
          <cell r="D74">
            <v>0</v>
          </cell>
          <cell r="E74">
            <v>0</v>
          </cell>
          <cell r="L74">
            <v>0</v>
          </cell>
        </row>
        <row r="75">
          <cell r="B75">
            <v>40077</v>
          </cell>
          <cell r="D75">
            <v>0</v>
          </cell>
          <cell r="E75">
            <v>0</v>
          </cell>
          <cell r="L75">
            <v>0</v>
          </cell>
        </row>
        <row r="76">
          <cell r="B76">
            <v>40078</v>
          </cell>
          <cell r="D76">
            <v>0</v>
          </cell>
          <cell r="E76">
            <v>0</v>
          </cell>
          <cell r="L76">
            <v>0</v>
          </cell>
        </row>
        <row r="77">
          <cell r="B77">
            <v>40079</v>
          </cell>
          <cell r="D77">
            <v>0</v>
          </cell>
          <cell r="E77">
            <v>0</v>
          </cell>
          <cell r="L77">
            <v>0</v>
          </cell>
        </row>
        <row r="78">
          <cell r="B78">
            <v>40080</v>
          </cell>
          <cell r="D78">
            <v>0</v>
          </cell>
          <cell r="E78">
            <v>0</v>
          </cell>
          <cell r="L78">
            <v>0</v>
          </cell>
        </row>
        <row r="79">
          <cell r="B79">
            <v>40081</v>
          </cell>
          <cell r="D79">
            <v>0</v>
          </cell>
          <cell r="E79">
            <v>0</v>
          </cell>
          <cell r="L79">
            <v>0</v>
          </cell>
        </row>
        <row r="80">
          <cell r="B80">
            <v>40082</v>
          </cell>
          <cell r="D80">
            <v>0</v>
          </cell>
          <cell r="E80">
            <v>0</v>
          </cell>
          <cell r="L80">
            <v>0</v>
          </cell>
        </row>
        <row r="81">
          <cell r="B81">
            <v>40083</v>
          </cell>
          <cell r="D81">
            <v>0</v>
          </cell>
          <cell r="E81">
            <v>0</v>
          </cell>
          <cell r="L81">
            <v>0</v>
          </cell>
        </row>
        <row r="82">
          <cell r="B82">
            <v>40084</v>
          </cell>
          <cell r="D82">
            <v>0</v>
          </cell>
          <cell r="E82">
            <v>0</v>
          </cell>
          <cell r="L82">
            <v>0</v>
          </cell>
        </row>
        <row r="83">
          <cell r="B83">
            <v>40085</v>
          </cell>
          <cell r="D83">
            <v>0</v>
          </cell>
          <cell r="E83">
            <v>0</v>
          </cell>
          <cell r="L83">
            <v>0</v>
          </cell>
        </row>
        <row r="84">
          <cell r="B84">
            <v>40086</v>
          </cell>
          <cell r="D84">
            <v>0</v>
          </cell>
          <cell r="E84">
            <v>0</v>
          </cell>
          <cell r="L84">
            <v>0</v>
          </cell>
        </row>
        <row r="85">
          <cell r="B85">
            <v>40087</v>
          </cell>
          <cell r="D85">
            <v>0</v>
          </cell>
          <cell r="E85">
            <v>0</v>
          </cell>
          <cell r="L85">
            <v>0</v>
          </cell>
        </row>
        <row r="87">
          <cell r="L87">
            <v>0</v>
          </cell>
        </row>
        <row r="88">
          <cell r="L88">
            <v>0</v>
          </cell>
        </row>
        <row r="89">
          <cell r="A89" t="str">
            <v>Robinsons</v>
          </cell>
          <cell r="L89">
            <v>0</v>
          </cell>
        </row>
        <row r="124">
          <cell r="F124">
            <v>0</v>
          </cell>
          <cell r="L124">
            <v>0</v>
          </cell>
        </row>
        <row r="126">
          <cell r="A126" t="str">
            <v>FUND TRANSFER</v>
          </cell>
          <cell r="L126">
            <v>590000</v>
          </cell>
        </row>
        <row r="127">
          <cell r="A127" t="str">
            <v>Payee</v>
          </cell>
          <cell r="G127" t="str">
            <v>CV Date</v>
          </cell>
          <cell r="H127" t="str">
            <v>CV No.</v>
          </cell>
          <cell r="I127" t="str">
            <v>Check Date</v>
          </cell>
          <cell r="J127" t="str">
            <v>Check No.</v>
          </cell>
        </row>
        <row r="128">
          <cell r="A128" t="str">
            <v>Fund transfer from HSBC to BOC Acct</v>
          </cell>
          <cell r="L128">
            <v>500000</v>
          </cell>
        </row>
        <row r="129">
          <cell r="A129" t="str">
            <v>Advances from CO.8</v>
          </cell>
          <cell r="L129">
            <v>90000</v>
          </cell>
        </row>
        <row r="138">
          <cell r="A138" t="str">
            <v>OTHER DEPOSITS</v>
          </cell>
          <cell r="L138">
            <v>0</v>
          </cell>
        </row>
        <row r="149">
          <cell r="A149" t="str">
            <v>TOTAL FUND AVAILABLE FOR DISBURSEMENT</v>
          </cell>
          <cell r="L149">
            <v>1012325.9299999999</v>
          </cell>
        </row>
        <row r="150">
          <cell r="A150" t="str">
            <v>Less:</v>
          </cell>
        </row>
        <row r="151">
          <cell r="A151" t="str">
            <v>DISBURSEMENTS</v>
          </cell>
          <cell r="L151">
            <v>9950829.6397891212</v>
          </cell>
        </row>
        <row r="153">
          <cell r="A153" t="str">
            <v>Released Checks</v>
          </cell>
          <cell r="L153">
            <v>9950829.6397891212</v>
          </cell>
        </row>
        <row r="154">
          <cell r="A154" t="str">
            <v>Payee</v>
          </cell>
          <cell r="C154" t="str">
            <v>RCP No.</v>
          </cell>
          <cell r="D154" t="str">
            <v>SI No.</v>
          </cell>
          <cell r="E154" t="str">
            <v>SI Date</v>
          </cell>
          <cell r="F154" t="str">
            <v>Cleared Date</v>
          </cell>
          <cell r="G154" t="str">
            <v>CV Date</v>
          </cell>
          <cell r="H154" t="str">
            <v>CV No.</v>
          </cell>
          <cell r="I154" t="str">
            <v>Check Date</v>
          </cell>
          <cell r="J154" t="str">
            <v>Check No.</v>
          </cell>
          <cell r="K154" t="str">
            <v>Released Date</v>
          </cell>
        </row>
        <row r="156">
          <cell r="A156" t="str">
            <v>Bee Hong Trading</v>
          </cell>
          <cell r="C156" t="str">
            <v>002</v>
          </cell>
          <cell r="D156">
            <v>28496</v>
          </cell>
          <cell r="E156">
            <v>39947</v>
          </cell>
          <cell r="F156">
            <v>39968</v>
          </cell>
          <cell r="G156">
            <v>39966</v>
          </cell>
          <cell r="H156">
            <v>1378</v>
          </cell>
          <cell r="I156">
            <v>39966</v>
          </cell>
          <cell r="J156">
            <v>233</v>
          </cell>
          <cell r="K156">
            <v>39969</v>
          </cell>
          <cell r="L156">
            <v>3600</v>
          </cell>
        </row>
        <row r="157">
          <cell r="A157" t="str">
            <v>Consolidated Diary</v>
          </cell>
          <cell r="C157" t="str">
            <v>007</v>
          </cell>
          <cell r="D157">
            <v>386164</v>
          </cell>
          <cell r="E157">
            <v>39925</v>
          </cell>
          <cell r="F157">
            <v>39979</v>
          </cell>
          <cell r="G157">
            <v>39966</v>
          </cell>
          <cell r="H157">
            <v>1377</v>
          </cell>
          <cell r="I157">
            <v>39966</v>
          </cell>
          <cell r="J157">
            <v>232</v>
          </cell>
          <cell r="K157">
            <v>39969</v>
          </cell>
          <cell r="L157">
            <v>9097.64</v>
          </cell>
        </row>
        <row r="158">
          <cell r="A158" t="str">
            <v>Jas Vegetables Dealer</v>
          </cell>
          <cell r="C158" t="str">
            <v>072</v>
          </cell>
          <cell r="D158">
            <v>14281</v>
          </cell>
          <cell r="E158">
            <v>39954</v>
          </cell>
          <cell r="F158">
            <v>39972</v>
          </cell>
          <cell r="G158">
            <v>39966</v>
          </cell>
          <cell r="H158">
            <v>1386</v>
          </cell>
          <cell r="I158">
            <v>39966</v>
          </cell>
          <cell r="J158">
            <v>241</v>
          </cell>
          <cell r="K158">
            <v>39969</v>
          </cell>
          <cell r="L158">
            <v>1664</v>
          </cell>
        </row>
        <row r="159">
          <cell r="A159" t="str">
            <v>Jas Vegetables Dealer</v>
          </cell>
          <cell r="C159" t="str">
            <v>073</v>
          </cell>
          <cell r="D159">
            <v>14282</v>
          </cell>
          <cell r="E159">
            <v>39954</v>
          </cell>
          <cell r="F159">
            <v>39972</v>
          </cell>
          <cell r="G159">
            <v>39966</v>
          </cell>
          <cell r="H159">
            <v>1376</v>
          </cell>
          <cell r="I159">
            <v>39966</v>
          </cell>
          <cell r="J159">
            <v>231</v>
          </cell>
          <cell r="K159">
            <v>39969</v>
          </cell>
          <cell r="L159">
            <v>2390</v>
          </cell>
        </row>
        <row r="160">
          <cell r="A160" t="str">
            <v>Jas Vegetables Dealer</v>
          </cell>
          <cell r="C160" t="str">
            <v>084</v>
          </cell>
          <cell r="D160" t="str">
            <v>14283-86</v>
          </cell>
          <cell r="E160">
            <v>39958</v>
          </cell>
          <cell r="G160">
            <v>39966</v>
          </cell>
          <cell r="H160">
            <v>1376</v>
          </cell>
          <cell r="I160">
            <v>39966</v>
          </cell>
          <cell r="J160">
            <v>231</v>
          </cell>
          <cell r="K160">
            <v>39969</v>
          </cell>
          <cell r="L160">
            <v>7093.35</v>
          </cell>
        </row>
        <row r="161">
          <cell r="A161" t="str">
            <v>PVF Enterprises</v>
          </cell>
          <cell r="C161" t="str">
            <v>074</v>
          </cell>
          <cell r="D161">
            <v>7084</v>
          </cell>
          <cell r="E161">
            <v>39953</v>
          </cell>
          <cell r="F161">
            <v>39965</v>
          </cell>
          <cell r="G161">
            <v>39966</v>
          </cell>
          <cell r="H161">
            <v>1385</v>
          </cell>
          <cell r="I161">
            <v>39966</v>
          </cell>
          <cell r="J161">
            <v>240</v>
          </cell>
          <cell r="K161">
            <v>39965</v>
          </cell>
          <cell r="L161">
            <v>6764.06</v>
          </cell>
        </row>
        <row r="162">
          <cell r="A162" t="str">
            <v>S&amp;L Fine Foods</v>
          </cell>
          <cell r="C162" t="str">
            <v>055</v>
          </cell>
          <cell r="D162">
            <v>3190</v>
          </cell>
          <cell r="E162">
            <v>39930</v>
          </cell>
          <cell r="F162">
            <v>39972</v>
          </cell>
          <cell r="G162">
            <v>39966</v>
          </cell>
          <cell r="H162">
            <v>1382</v>
          </cell>
          <cell r="I162">
            <v>39966</v>
          </cell>
          <cell r="J162">
            <v>237</v>
          </cell>
          <cell r="K162">
            <v>39969</v>
          </cell>
          <cell r="L162">
            <v>31893.200000000001</v>
          </cell>
        </row>
        <row r="163">
          <cell r="A163" t="str">
            <v>Coca Cola Bottlers Phils.</v>
          </cell>
          <cell r="C163" t="str">
            <v>089</v>
          </cell>
          <cell r="D163">
            <v>382916</v>
          </cell>
          <cell r="E163">
            <v>39962</v>
          </cell>
          <cell r="F163">
            <v>39969</v>
          </cell>
          <cell r="G163">
            <v>39966</v>
          </cell>
          <cell r="H163">
            <v>1380</v>
          </cell>
          <cell r="I163">
            <v>39966</v>
          </cell>
          <cell r="J163">
            <v>235</v>
          </cell>
          <cell r="K163">
            <v>39969</v>
          </cell>
          <cell r="L163">
            <v>9487</v>
          </cell>
        </row>
        <row r="164">
          <cell r="A164" t="str">
            <v>Italfood</v>
          </cell>
          <cell r="C164" t="str">
            <v>035</v>
          </cell>
          <cell r="D164">
            <v>64922</v>
          </cell>
          <cell r="E164">
            <v>39775</v>
          </cell>
          <cell r="F164">
            <v>39973</v>
          </cell>
          <cell r="G164">
            <v>39966</v>
          </cell>
          <cell r="H164">
            <v>1379</v>
          </cell>
          <cell r="I164">
            <v>39966</v>
          </cell>
          <cell r="J164">
            <v>234</v>
          </cell>
          <cell r="K164">
            <v>39969</v>
          </cell>
          <cell r="L164">
            <v>9568.43</v>
          </cell>
        </row>
        <row r="165">
          <cell r="A165" t="str">
            <v>Silverwave</v>
          </cell>
          <cell r="C165" t="str">
            <v>RCP dtd 4/28/09</v>
          </cell>
          <cell r="D165">
            <v>4970</v>
          </cell>
          <cell r="E165">
            <v>39918</v>
          </cell>
          <cell r="F165">
            <v>39972</v>
          </cell>
          <cell r="G165">
            <v>39966</v>
          </cell>
          <cell r="H165">
            <v>1383</v>
          </cell>
          <cell r="I165">
            <v>39966</v>
          </cell>
          <cell r="J165">
            <v>238</v>
          </cell>
          <cell r="K165">
            <v>39969</v>
          </cell>
          <cell r="L165">
            <v>29629.67</v>
          </cell>
        </row>
        <row r="166">
          <cell r="A166" t="str">
            <v>Triple Five</v>
          </cell>
          <cell r="C166" t="str">
            <v>088</v>
          </cell>
          <cell r="E166">
            <v>39961</v>
          </cell>
          <cell r="F166">
            <v>39968</v>
          </cell>
          <cell r="G166">
            <v>39966</v>
          </cell>
          <cell r="H166">
            <v>1381</v>
          </cell>
          <cell r="I166">
            <v>39966</v>
          </cell>
          <cell r="J166">
            <v>236</v>
          </cell>
          <cell r="K166">
            <v>39969</v>
          </cell>
          <cell r="L166">
            <v>8000</v>
          </cell>
        </row>
        <row r="167">
          <cell r="A167" t="str">
            <v>Triple Five</v>
          </cell>
          <cell r="C167" t="str">
            <v>088</v>
          </cell>
          <cell r="E167">
            <v>39961</v>
          </cell>
          <cell r="F167">
            <v>39968</v>
          </cell>
          <cell r="G167">
            <v>39966</v>
          </cell>
          <cell r="H167">
            <v>1381</v>
          </cell>
          <cell r="I167">
            <v>39966</v>
          </cell>
          <cell r="J167">
            <v>236</v>
          </cell>
          <cell r="K167">
            <v>39969</v>
          </cell>
          <cell r="L167">
            <v>7000</v>
          </cell>
        </row>
        <row r="168">
          <cell r="A168" t="str">
            <v>Rex L. Castro</v>
          </cell>
          <cell r="C168" t="str">
            <v>090</v>
          </cell>
          <cell r="D168">
            <v>18981</v>
          </cell>
          <cell r="E168">
            <v>39959</v>
          </cell>
          <cell r="F168">
            <v>39972</v>
          </cell>
          <cell r="G168">
            <v>39966</v>
          </cell>
          <cell r="H168">
            <v>1384</v>
          </cell>
          <cell r="I168">
            <v>39966</v>
          </cell>
          <cell r="J168">
            <v>239</v>
          </cell>
          <cell r="K168">
            <v>39969</v>
          </cell>
          <cell r="L168">
            <v>5470</v>
          </cell>
        </row>
        <row r="169">
          <cell r="F169">
            <v>39972</v>
          </cell>
          <cell r="I169">
            <v>39966</v>
          </cell>
          <cell r="J169" t="str">
            <v>240</v>
          </cell>
          <cell r="K169">
            <v>39969</v>
          </cell>
          <cell r="L169">
            <v>6764.06</v>
          </cell>
        </row>
        <row r="170">
          <cell r="A170" t="str">
            <v>Co8.</v>
          </cell>
          <cell r="F170">
            <v>39969</v>
          </cell>
          <cell r="G170">
            <v>39969</v>
          </cell>
          <cell r="H170">
            <v>1388</v>
          </cell>
          <cell r="I170">
            <v>39969</v>
          </cell>
          <cell r="J170" t="str">
            <v>DM</v>
          </cell>
          <cell r="K170">
            <v>39969</v>
          </cell>
          <cell r="L170">
            <v>300000</v>
          </cell>
        </row>
        <row r="171">
          <cell r="A171" t="str">
            <v>NBG</v>
          </cell>
          <cell r="G171">
            <v>39969</v>
          </cell>
          <cell r="H171">
            <v>1387</v>
          </cell>
          <cell r="I171">
            <v>39969</v>
          </cell>
          <cell r="J171" t="str">
            <v>WD</v>
          </cell>
          <cell r="K171">
            <v>39969</v>
          </cell>
          <cell r="L171">
            <v>350000</v>
          </cell>
        </row>
        <row r="172">
          <cell r="A172" t="str">
            <v>Lalaine Macapas</v>
          </cell>
          <cell r="C172">
            <v>102</v>
          </cell>
          <cell r="G172">
            <v>39972</v>
          </cell>
          <cell r="H172">
            <v>1389</v>
          </cell>
          <cell r="I172">
            <v>39972</v>
          </cell>
          <cell r="J172">
            <v>5729476</v>
          </cell>
          <cell r="K172">
            <v>39969</v>
          </cell>
          <cell r="L172">
            <v>4491.0600000000004</v>
          </cell>
        </row>
        <row r="173">
          <cell r="A173" t="str">
            <v>Bernadette Huerta</v>
          </cell>
          <cell r="C173">
            <v>103</v>
          </cell>
          <cell r="F173">
            <v>39973</v>
          </cell>
          <cell r="J173" t="str">
            <v>242</v>
          </cell>
          <cell r="K173">
            <v>39969</v>
          </cell>
          <cell r="L173">
            <v>12938.3</v>
          </cell>
        </row>
        <row r="174">
          <cell r="A174" t="str">
            <v>BOC FAO BIR</v>
          </cell>
          <cell r="F174">
            <v>39974</v>
          </cell>
          <cell r="G174">
            <v>39974</v>
          </cell>
          <cell r="I174">
            <v>39974</v>
          </cell>
          <cell r="J174" t="str">
            <v>243</v>
          </cell>
          <cell r="K174">
            <v>39974</v>
          </cell>
          <cell r="L174">
            <v>37323.370000000003</v>
          </cell>
        </row>
        <row r="175">
          <cell r="A175" t="str">
            <v>BOC FAO BIR</v>
          </cell>
          <cell r="F175">
            <v>39974</v>
          </cell>
          <cell r="G175">
            <v>39974</v>
          </cell>
          <cell r="I175">
            <v>39974</v>
          </cell>
          <cell r="J175" t="str">
            <v>245</v>
          </cell>
          <cell r="K175">
            <v>39974</v>
          </cell>
          <cell r="L175">
            <v>4007.78</v>
          </cell>
        </row>
        <row r="176">
          <cell r="A176" t="str">
            <v>Co8 Corp</v>
          </cell>
          <cell r="F176">
            <v>39973</v>
          </cell>
          <cell r="G176">
            <v>39973</v>
          </cell>
          <cell r="H176">
            <v>1392</v>
          </cell>
          <cell r="I176">
            <v>39973</v>
          </cell>
          <cell r="J176" t="str">
            <v>DM</v>
          </cell>
          <cell r="K176">
            <v>39973</v>
          </cell>
          <cell r="L176">
            <v>200000</v>
          </cell>
        </row>
        <row r="177">
          <cell r="A177" t="str">
            <v>NBG</v>
          </cell>
          <cell r="G177">
            <v>39973</v>
          </cell>
          <cell r="H177">
            <v>1391</v>
          </cell>
          <cell r="I177">
            <v>39973</v>
          </cell>
          <cell r="J177" t="str">
            <v>DM</v>
          </cell>
          <cell r="K177">
            <v>39973</v>
          </cell>
          <cell r="L177">
            <v>200000</v>
          </cell>
        </row>
        <row r="178">
          <cell r="A178" t="str">
            <v>Co8 Corp</v>
          </cell>
          <cell r="F178">
            <v>39975</v>
          </cell>
          <cell r="G178">
            <v>39975</v>
          </cell>
          <cell r="H178">
            <v>1396</v>
          </cell>
          <cell r="J178" t="str">
            <v>DM</v>
          </cell>
          <cell r="K178">
            <v>39975</v>
          </cell>
          <cell r="L178">
            <v>150000</v>
          </cell>
        </row>
        <row r="179">
          <cell r="A179" t="str">
            <v>Service Charge</v>
          </cell>
          <cell r="B179">
            <v>39904</v>
          </cell>
          <cell r="F179">
            <v>39975</v>
          </cell>
          <cell r="J179" t="str">
            <v>DM</v>
          </cell>
          <cell r="K179">
            <v>39975</v>
          </cell>
          <cell r="L179">
            <v>72465.84</v>
          </cell>
        </row>
        <row r="180">
          <cell r="A180" t="str">
            <v>Gina M.Dejoras</v>
          </cell>
          <cell r="C180" t="str">
            <v>009</v>
          </cell>
          <cell r="D180">
            <v>380</v>
          </cell>
          <cell r="E180">
            <v>39894</v>
          </cell>
          <cell r="F180">
            <v>39980</v>
          </cell>
          <cell r="G180">
            <v>39975</v>
          </cell>
          <cell r="H180">
            <v>1401</v>
          </cell>
          <cell r="I180">
            <v>39975</v>
          </cell>
          <cell r="J180">
            <v>250</v>
          </cell>
          <cell r="K180">
            <v>39976</v>
          </cell>
          <cell r="L180">
            <v>5400</v>
          </cell>
        </row>
        <row r="181">
          <cell r="A181" t="str">
            <v>Decouverte</v>
          </cell>
          <cell r="B181" t="str">
            <v>repair of Cofee machine</v>
          </cell>
          <cell r="D181">
            <v>2231</v>
          </cell>
          <cell r="E181">
            <v>39941</v>
          </cell>
          <cell r="F181">
            <v>39979</v>
          </cell>
          <cell r="G181">
            <v>39975</v>
          </cell>
          <cell r="H181">
            <v>1399</v>
          </cell>
          <cell r="I181">
            <v>39975</v>
          </cell>
          <cell r="J181" t="str">
            <v>248</v>
          </cell>
          <cell r="K181">
            <v>39976</v>
          </cell>
          <cell r="L181">
            <v>18270</v>
          </cell>
        </row>
        <row r="182">
          <cell r="A182" t="str">
            <v>Fine Concept Hotel Line</v>
          </cell>
          <cell r="F182">
            <v>39979</v>
          </cell>
          <cell r="G182">
            <v>39975</v>
          </cell>
          <cell r="H182">
            <v>1398</v>
          </cell>
          <cell r="I182">
            <v>39975</v>
          </cell>
          <cell r="J182" t="str">
            <v>247</v>
          </cell>
          <cell r="K182">
            <v>39976</v>
          </cell>
          <cell r="L182">
            <v>7610</v>
          </cell>
        </row>
        <row r="183">
          <cell r="A183" t="str">
            <v>S&amp;L Fine Foods</v>
          </cell>
          <cell r="D183">
            <v>39884</v>
          </cell>
          <cell r="E183">
            <v>39884</v>
          </cell>
          <cell r="F183">
            <v>39979</v>
          </cell>
          <cell r="G183">
            <v>39975</v>
          </cell>
          <cell r="H183">
            <v>1405</v>
          </cell>
          <cell r="I183">
            <v>39975</v>
          </cell>
          <cell r="J183" t="str">
            <v>254</v>
          </cell>
          <cell r="K183">
            <v>39976</v>
          </cell>
          <cell r="L183">
            <v>14648.98</v>
          </cell>
        </row>
        <row r="184">
          <cell r="A184" t="str">
            <v>Mamboo Food Enterprise</v>
          </cell>
          <cell r="F184">
            <v>39975</v>
          </cell>
          <cell r="G184">
            <v>39975</v>
          </cell>
          <cell r="J184">
            <v>221</v>
          </cell>
          <cell r="K184">
            <v>39975</v>
          </cell>
          <cell r="L184">
            <v>6293.3</v>
          </cell>
        </row>
        <row r="185">
          <cell r="A185" t="str">
            <v>Cash (Constacio Caparas</v>
          </cell>
          <cell r="F185">
            <v>39979</v>
          </cell>
          <cell r="G185">
            <v>39975</v>
          </cell>
          <cell r="H185">
            <v>1407</v>
          </cell>
          <cell r="I185">
            <v>39975</v>
          </cell>
          <cell r="J185">
            <v>256</v>
          </cell>
          <cell r="K185">
            <v>39976</v>
          </cell>
          <cell r="L185">
            <v>4093.75</v>
          </cell>
        </row>
        <row r="186">
          <cell r="A186" t="str">
            <v>Triple Five</v>
          </cell>
          <cell r="F186">
            <v>39979</v>
          </cell>
          <cell r="G186">
            <v>39975</v>
          </cell>
          <cell r="H186">
            <v>1406</v>
          </cell>
          <cell r="I186">
            <v>39975</v>
          </cell>
          <cell r="J186" t="str">
            <v>255</v>
          </cell>
          <cell r="K186">
            <v>39976</v>
          </cell>
          <cell r="L186">
            <v>35200</v>
          </cell>
        </row>
        <row r="187">
          <cell r="A187" t="str">
            <v>Co8 Corp</v>
          </cell>
          <cell r="F187">
            <v>39975</v>
          </cell>
          <cell r="L187">
            <v>150000</v>
          </cell>
        </row>
        <row r="188">
          <cell r="A188" t="str">
            <v>Fil  Austrian</v>
          </cell>
          <cell r="D188">
            <v>4611</v>
          </cell>
          <cell r="E188">
            <v>39937</v>
          </cell>
          <cell r="F188">
            <v>39979</v>
          </cell>
          <cell r="G188">
            <v>39975</v>
          </cell>
          <cell r="H188">
            <v>1403</v>
          </cell>
          <cell r="I188">
            <v>39975</v>
          </cell>
          <cell r="J188" t="str">
            <v>252</v>
          </cell>
          <cell r="K188">
            <v>39979</v>
          </cell>
          <cell r="L188">
            <v>8492.2900000000009</v>
          </cell>
        </row>
        <row r="189">
          <cell r="A189" t="str">
            <v>San Miguel Brewery</v>
          </cell>
          <cell r="C189" t="str">
            <v>076</v>
          </cell>
          <cell r="D189">
            <v>501441859</v>
          </cell>
          <cell r="E189">
            <v>39953</v>
          </cell>
          <cell r="F189">
            <v>39979</v>
          </cell>
          <cell r="G189">
            <v>39975</v>
          </cell>
          <cell r="H189">
            <v>1404</v>
          </cell>
          <cell r="I189">
            <v>39975</v>
          </cell>
          <cell r="K189">
            <v>39979</v>
          </cell>
          <cell r="L189">
            <v>12727.34</v>
          </cell>
        </row>
        <row r="190">
          <cell r="A190" t="str">
            <v>Boquet De Bonbon</v>
          </cell>
          <cell r="C190" t="str">
            <v>082</v>
          </cell>
          <cell r="D190" t="str">
            <v>002</v>
          </cell>
          <cell r="E190">
            <v>39953</v>
          </cell>
          <cell r="F190">
            <v>39979</v>
          </cell>
          <cell r="G190">
            <v>39975</v>
          </cell>
          <cell r="H190">
            <v>1400</v>
          </cell>
          <cell r="I190">
            <v>39975</v>
          </cell>
          <cell r="J190" t="str">
            <v>249</v>
          </cell>
          <cell r="K190">
            <v>39979</v>
          </cell>
          <cell r="L190">
            <v>14211.96</v>
          </cell>
        </row>
        <row r="191">
          <cell r="A191" t="str">
            <v xml:space="preserve">Payroll </v>
          </cell>
          <cell r="B191" t="str">
            <v>June 1-15</v>
          </cell>
          <cell r="F191">
            <v>39979</v>
          </cell>
          <cell r="K191">
            <v>39979</v>
          </cell>
          <cell r="L191">
            <v>204158.57253548858</v>
          </cell>
        </row>
        <row r="192">
          <cell r="A192" t="str">
            <v>Cabrisos, Maxwell</v>
          </cell>
          <cell r="F192">
            <v>39979</v>
          </cell>
          <cell r="J192" t="str">
            <v>259</v>
          </cell>
          <cell r="K192">
            <v>39979</v>
          </cell>
          <cell r="L192">
            <v>18655.457097019327</v>
          </cell>
        </row>
        <row r="193">
          <cell r="A193" t="str">
            <v>Galura, Jericho</v>
          </cell>
          <cell r="F193">
            <v>39979</v>
          </cell>
          <cell r="J193" t="str">
            <v>258</v>
          </cell>
          <cell r="K193">
            <v>39979</v>
          </cell>
          <cell r="L193">
            <v>14563.776692541771</v>
          </cell>
        </row>
        <row r="194">
          <cell r="F194">
            <v>39979</v>
          </cell>
          <cell r="J194" t="str">
            <v>204</v>
          </cell>
          <cell r="K194">
            <v>39979</v>
          </cell>
          <cell r="L194">
            <v>9180</v>
          </cell>
        </row>
        <row r="195">
          <cell r="A195" t="str">
            <v>NBG</v>
          </cell>
          <cell r="G195">
            <v>39980</v>
          </cell>
          <cell r="H195">
            <v>1411</v>
          </cell>
          <cell r="I195">
            <v>39980</v>
          </cell>
          <cell r="K195">
            <v>39980</v>
          </cell>
          <cell r="L195">
            <v>350000</v>
          </cell>
        </row>
        <row r="196">
          <cell r="A196" t="str">
            <v>NBG</v>
          </cell>
          <cell r="L196">
            <v>350000</v>
          </cell>
        </row>
        <row r="197">
          <cell r="A197" t="str">
            <v>Co8</v>
          </cell>
          <cell r="F197">
            <v>39980</v>
          </cell>
          <cell r="K197">
            <v>39980</v>
          </cell>
          <cell r="L197">
            <v>250000</v>
          </cell>
        </row>
        <row r="198">
          <cell r="A198" t="str">
            <v>Bernadette Huerta</v>
          </cell>
          <cell r="F198">
            <v>39981</v>
          </cell>
          <cell r="G198">
            <v>39980</v>
          </cell>
          <cell r="H198">
            <v>1414</v>
          </cell>
          <cell r="I198">
            <v>39980</v>
          </cell>
          <cell r="J198" t="str">
            <v>261</v>
          </cell>
          <cell r="K198">
            <v>39980</v>
          </cell>
          <cell r="L198">
            <v>11092</v>
          </cell>
        </row>
        <row r="199">
          <cell r="A199" t="str">
            <v>Hypomega Ventures</v>
          </cell>
          <cell r="C199" t="str">
            <v>031</v>
          </cell>
          <cell r="D199">
            <v>12129</v>
          </cell>
          <cell r="E199">
            <v>39946</v>
          </cell>
          <cell r="F199">
            <v>39980</v>
          </cell>
          <cell r="G199">
            <v>39975</v>
          </cell>
          <cell r="I199">
            <v>39975</v>
          </cell>
          <cell r="J199" t="str">
            <v>251</v>
          </cell>
          <cell r="K199">
            <v>39979</v>
          </cell>
          <cell r="L199">
            <v>3092.14</v>
          </cell>
        </row>
        <row r="200">
          <cell r="F200">
            <v>39980</v>
          </cell>
          <cell r="I200">
            <v>39980</v>
          </cell>
          <cell r="K200">
            <v>39980</v>
          </cell>
          <cell r="L200">
            <v>12727.34</v>
          </cell>
        </row>
        <row r="201">
          <cell r="A201" t="str">
            <v>Robinson Supermarket Inc.</v>
          </cell>
          <cell r="C201">
            <v>22183.39</v>
          </cell>
          <cell r="F201">
            <v>39983</v>
          </cell>
          <cell r="G201">
            <v>39935</v>
          </cell>
          <cell r="H201">
            <v>1320</v>
          </cell>
          <cell r="I201">
            <v>39935</v>
          </cell>
          <cell r="J201" t="str">
            <v>180</v>
          </cell>
          <cell r="K201">
            <v>39982</v>
          </cell>
          <cell r="L201">
            <v>22183.39</v>
          </cell>
        </row>
        <row r="202">
          <cell r="A202" t="str">
            <v>Jas Vegetabgle Dealer</v>
          </cell>
          <cell r="C202">
            <v>104</v>
          </cell>
          <cell r="D202">
            <v>14292</v>
          </cell>
          <cell r="E202">
            <v>39968</v>
          </cell>
          <cell r="F202">
            <v>39982</v>
          </cell>
          <cell r="G202">
            <v>39975</v>
          </cell>
          <cell r="H202">
            <v>1397</v>
          </cell>
          <cell r="I202">
            <v>39975</v>
          </cell>
          <cell r="J202" t="str">
            <v>246</v>
          </cell>
          <cell r="K202">
            <v>39979</v>
          </cell>
          <cell r="L202">
            <v>4656</v>
          </cell>
        </row>
        <row r="203">
          <cell r="A203" t="str">
            <v>Robinsons Supermarket</v>
          </cell>
          <cell r="C203">
            <v>109</v>
          </cell>
          <cell r="D203" t="str">
            <v>Power &amp; Water charges for February 2009</v>
          </cell>
          <cell r="G203">
            <v>39974</v>
          </cell>
          <cell r="H203">
            <v>1393</v>
          </cell>
          <cell r="I203">
            <v>39974</v>
          </cell>
          <cell r="J203" t="str">
            <v>5729478</v>
          </cell>
          <cell r="K203">
            <v>39981</v>
          </cell>
          <cell r="L203">
            <v>32364.04</v>
          </cell>
        </row>
        <row r="204">
          <cell r="A204" t="str">
            <v>Robinsons Supermarket</v>
          </cell>
          <cell r="C204">
            <v>109</v>
          </cell>
          <cell r="D204" t="str">
            <v>Power &amp; Water charges for March 2009</v>
          </cell>
          <cell r="G204">
            <v>39974</v>
          </cell>
          <cell r="H204">
            <v>1393</v>
          </cell>
          <cell r="I204">
            <v>39974</v>
          </cell>
          <cell r="J204" t="str">
            <v>5729478</v>
          </cell>
          <cell r="K204">
            <v>39981</v>
          </cell>
          <cell r="L204">
            <v>33709.26</v>
          </cell>
        </row>
        <row r="205">
          <cell r="A205" t="str">
            <v>Robinsons Supermarket</v>
          </cell>
          <cell r="C205">
            <v>109</v>
          </cell>
          <cell r="D205" t="str">
            <v>Power &amp; Water charges for April  2009</v>
          </cell>
          <cell r="G205">
            <v>39974</v>
          </cell>
          <cell r="H205">
            <v>1393</v>
          </cell>
          <cell r="I205">
            <v>39974</v>
          </cell>
          <cell r="J205" t="str">
            <v>5729478</v>
          </cell>
          <cell r="K205">
            <v>39981</v>
          </cell>
          <cell r="L205">
            <v>32598.04</v>
          </cell>
        </row>
        <row r="206">
          <cell r="A206" t="str">
            <v>Robinsons Supermarket</v>
          </cell>
          <cell r="C206">
            <v>109</v>
          </cell>
          <cell r="D206" t="str">
            <v>Power &amp; Water charges for May 2009</v>
          </cell>
          <cell r="G206">
            <v>39974</v>
          </cell>
          <cell r="H206">
            <v>1393</v>
          </cell>
          <cell r="I206">
            <v>39974</v>
          </cell>
          <cell r="J206" t="str">
            <v>5729478</v>
          </cell>
          <cell r="K206">
            <v>39981</v>
          </cell>
          <cell r="L206">
            <v>35458.080000000002</v>
          </cell>
        </row>
        <row r="207">
          <cell r="A207" t="str">
            <v>Robinsons Supermarket</v>
          </cell>
          <cell r="C207">
            <v>109</v>
          </cell>
          <cell r="D207" t="str">
            <v>Rental for March 2009</v>
          </cell>
          <cell r="G207">
            <v>39974</v>
          </cell>
          <cell r="H207">
            <v>1393</v>
          </cell>
          <cell r="I207">
            <v>39974</v>
          </cell>
          <cell r="J207" t="str">
            <v>5729478</v>
          </cell>
          <cell r="K207">
            <v>39981</v>
          </cell>
          <cell r="L207">
            <v>22183.39</v>
          </cell>
        </row>
        <row r="208">
          <cell r="A208" t="str">
            <v>Robinsons Supermarket</v>
          </cell>
          <cell r="C208">
            <v>109</v>
          </cell>
          <cell r="D208" t="str">
            <v>Rental for April 2009</v>
          </cell>
          <cell r="G208">
            <v>39974</v>
          </cell>
          <cell r="H208">
            <v>1393</v>
          </cell>
          <cell r="I208">
            <v>39974</v>
          </cell>
          <cell r="J208" t="str">
            <v>5729478</v>
          </cell>
          <cell r="K208">
            <v>39981</v>
          </cell>
          <cell r="L208">
            <v>22183.39</v>
          </cell>
        </row>
        <row r="209">
          <cell r="A209" t="str">
            <v>Robinsons Supermarket</v>
          </cell>
          <cell r="C209">
            <v>109</v>
          </cell>
          <cell r="D209" t="str">
            <v>Rental for May 2009</v>
          </cell>
          <cell r="G209">
            <v>39974</v>
          </cell>
          <cell r="H209">
            <v>1393</v>
          </cell>
          <cell r="I209">
            <v>39974</v>
          </cell>
          <cell r="J209" t="str">
            <v>5729478</v>
          </cell>
          <cell r="K209">
            <v>39981</v>
          </cell>
          <cell r="L209">
            <v>22183.39</v>
          </cell>
        </row>
        <row r="210">
          <cell r="A210" t="str">
            <v xml:space="preserve">Jas Vegetable </v>
          </cell>
          <cell r="F210">
            <v>39986</v>
          </cell>
          <cell r="J210">
            <v>262</v>
          </cell>
          <cell r="K210">
            <v>39983</v>
          </cell>
          <cell r="L210">
            <v>22514.1</v>
          </cell>
        </row>
        <row r="211">
          <cell r="A211" t="str">
            <v>BOC FAO BIR</v>
          </cell>
          <cell r="F211">
            <v>39986</v>
          </cell>
          <cell r="H211">
            <v>1425</v>
          </cell>
          <cell r="I211">
            <v>39982</v>
          </cell>
          <cell r="J211">
            <v>272</v>
          </cell>
          <cell r="K211">
            <v>39982</v>
          </cell>
          <cell r="L211">
            <v>193009.72</v>
          </cell>
        </row>
        <row r="212">
          <cell r="A212" t="str">
            <v>Synergy Sales</v>
          </cell>
          <cell r="F212">
            <v>39993</v>
          </cell>
          <cell r="G212">
            <v>39981</v>
          </cell>
          <cell r="H212">
            <v>1424</v>
          </cell>
          <cell r="I212">
            <v>39982</v>
          </cell>
          <cell r="J212">
            <v>271</v>
          </cell>
          <cell r="K212">
            <v>39988</v>
          </cell>
          <cell r="L212">
            <v>6243.75</v>
          </cell>
        </row>
        <row r="213">
          <cell r="A213" t="str">
            <v>PLDT</v>
          </cell>
          <cell r="F213">
            <v>39989</v>
          </cell>
          <cell r="G213">
            <v>39981</v>
          </cell>
          <cell r="H213">
            <v>1418</v>
          </cell>
          <cell r="I213">
            <v>39981</v>
          </cell>
          <cell r="J213">
            <v>265</v>
          </cell>
          <cell r="K213">
            <v>39988</v>
          </cell>
          <cell r="L213">
            <v>9009.7800000000007</v>
          </cell>
        </row>
        <row r="214">
          <cell r="A214" t="str">
            <v>The French baker</v>
          </cell>
          <cell r="J214" t="str">
            <v xml:space="preserve"> </v>
          </cell>
          <cell r="L214">
            <v>17287.099999999999</v>
          </cell>
        </row>
        <row r="215">
          <cell r="A215" t="str">
            <v>Pfescorp</v>
          </cell>
          <cell r="D215">
            <v>47912</v>
          </cell>
          <cell r="E215">
            <v>39918</v>
          </cell>
          <cell r="F215">
            <v>40016</v>
          </cell>
          <cell r="G215">
            <v>39981</v>
          </cell>
          <cell r="H215">
            <v>1421</v>
          </cell>
          <cell r="I215">
            <v>39981</v>
          </cell>
          <cell r="J215">
            <v>268</v>
          </cell>
          <cell r="K215">
            <v>39983</v>
          </cell>
          <cell r="L215">
            <v>14312.44</v>
          </cell>
        </row>
        <row r="216">
          <cell r="A216" t="str">
            <v>Manila Water</v>
          </cell>
          <cell r="C216">
            <v>128</v>
          </cell>
          <cell r="E216">
            <v>39981</v>
          </cell>
          <cell r="F216">
            <v>39989</v>
          </cell>
          <cell r="G216">
            <v>39988</v>
          </cell>
          <cell r="H216">
            <v>1430</v>
          </cell>
          <cell r="I216">
            <v>39988</v>
          </cell>
          <cell r="J216" t="str">
            <v>275</v>
          </cell>
          <cell r="K216">
            <v>39988</v>
          </cell>
          <cell r="L216">
            <v>1379.6</v>
          </cell>
        </row>
        <row r="217">
          <cell r="A217" t="str">
            <v>Meralco</v>
          </cell>
          <cell r="C217">
            <v>127</v>
          </cell>
          <cell r="E217">
            <v>39972</v>
          </cell>
          <cell r="F217">
            <v>39990</v>
          </cell>
          <cell r="G217">
            <v>39988</v>
          </cell>
          <cell r="H217">
            <v>1429</v>
          </cell>
          <cell r="I217">
            <v>39988</v>
          </cell>
          <cell r="J217" t="str">
            <v>274</v>
          </cell>
          <cell r="K217">
            <v>39988</v>
          </cell>
          <cell r="L217">
            <v>6071.6</v>
          </cell>
        </row>
        <row r="218">
          <cell r="A218" t="str">
            <v>Booze Online</v>
          </cell>
          <cell r="C218" t="str">
            <v>003</v>
          </cell>
          <cell r="D218">
            <v>5229</v>
          </cell>
          <cell r="E218">
            <v>39925</v>
          </cell>
          <cell r="F218">
            <v>39986</v>
          </cell>
          <cell r="G218">
            <v>39981</v>
          </cell>
          <cell r="H218">
            <v>1417</v>
          </cell>
          <cell r="I218">
            <v>39981</v>
          </cell>
          <cell r="J218" t="str">
            <v>264</v>
          </cell>
          <cell r="K218">
            <v>39983</v>
          </cell>
          <cell r="L218">
            <v>8760</v>
          </cell>
        </row>
        <row r="219">
          <cell r="A219" t="str">
            <v>Allan Quino</v>
          </cell>
          <cell r="C219">
            <v>152</v>
          </cell>
          <cell r="F219">
            <v>39988</v>
          </cell>
          <cell r="G219">
            <v>39986</v>
          </cell>
          <cell r="H219">
            <v>1427</v>
          </cell>
          <cell r="I219">
            <v>39986</v>
          </cell>
          <cell r="J219">
            <v>273</v>
          </cell>
          <cell r="K219">
            <v>39986</v>
          </cell>
          <cell r="L219">
            <v>43436.25</v>
          </cell>
        </row>
        <row r="220">
          <cell r="A220" t="str">
            <v>Bernadette Huerta</v>
          </cell>
          <cell r="F220">
            <v>39988</v>
          </cell>
          <cell r="G220">
            <v>39986</v>
          </cell>
          <cell r="H220">
            <v>1410</v>
          </cell>
          <cell r="I220">
            <v>39986</v>
          </cell>
          <cell r="J220">
            <v>276</v>
          </cell>
          <cell r="K220">
            <v>39988</v>
          </cell>
          <cell r="L220">
            <v>16369.61</v>
          </cell>
        </row>
        <row r="221">
          <cell r="A221" t="str">
            <v>Sommelier Selection</v>
          </cell>
          <cell r="C221">
            <v>141</v>
          </cell>
          <cell r="D221">
            <v>0.33333333333333331</v>
          </cell>
          <cell r="E221">
            <v>39982</v>
          </cell>
          <cell r="G221">
            <v>39990</v>
          </cell>
          <cell r="H221">
            <v>1434</v>
          </cell>
          <cell r="I221">
            <v>39990</v>
          </cell>
          <cell r="J221" t="str">
            <v>5729480</v>
          </cell>
          <cell r="K221">
            <v>39991</v>
          </cell>
          <cell r="L221">
            <v>23066.2</v>
          </cell>
        </row>
        <row r="222">
          <cell r="A222" t="str">
            <v>NBG</v>
          </cell>
          <cell r="H222">
            <v>1431</v>
          </cell>
          <cell r="I222">
            <v>39989</v>
          </cell>
          <cell r="J222" t="str">
            <v>WD</v>
          </cell>
          <cell r="K222">
            <v>39989</v>
          </cell>
          <cell r="L222">
            <v>150000</v>
          </cell>
        </row>
        <row r="223">
          <cell r="A223" t="str">
            <v>Co8</v>
          </cell>
          <cell r="F223">
            <v>39988</v>
          </cell>
          <cell r="H223">
            <v>1428</v>
          </cell>
          <cell r="I223">
            <v>39988</v>
          </cell>
          <cell r="J223" t="str">
            <v>DM</v>
          </cell>
          <cell r="K223">
            <v>39988</v>
          </cell>
          <cell r="L223">
            <v>200000</v>
          </cell>
        </row>
        <row r="224">
          <cell r="A224" t="str">
            <v>NBG</v>
          </cell>
          <cell r="H224">
            <v>1426</v>
          </cell>
          <cell r="I224">
            <v>39986</v>
          </cell>
          <cell r="J224" t="str">
            <v>WD</v>
          </cell>
          <cell r="K224">
            <v>39986</v>
          </cell>
          <cell r="L224">
            <v>300000</v>
          </cell>
        </row>
        <row r="225">
          <cell r="A225" t="str">
            <v>ESV International</v>
          </cell>
          <cell r="C225" t="str">
            <v>027</v>
          </cell>
          <cell r="E225">
            <v>39885</v>
          </cell>
          <cell r="G225">
            <v>39981</v>
          </cell>
          <cell r="H225">
            <v>1416</v>
          </cell>
          <cell r="I225">
            <v>39981</v>
          </cell>
          <cell r="J225">
            <v>263</v>
          </cell>
          <cell r="K225">
            <v>39983</v>
          </cell>
          <cell r="L225">
            <v>15598</v>
          </cell>
        </row>
        <row r="226">
          <cell r="A226" t="str">
            <v>New So's Enterprises</v>
          </cell>
          <cell r="D226">
            <v>224475</v>
          </cell>
          <cell r="E226">
            <v>39925</v>
          </cell>
          <cell r="F226">
            <v>39993</v>
          </cell>
          <cell r="G226">
            <v>39981</v>
          </cell>
          <cell r="H226">
            <v>1420</v>
          </cell>
          <cell r="I226">
            <v>39981</v>
          </cell>
          <cell r="J226">
            <v>267</v>
          </cell>
          <cell r="K226">
            <v>39983</v>
          </cell>
          <cell r="L226">
            <v>23993.98</v>
          </cell>
        </row>
        <row r="227">
          <cell r="A227" t="str">
            <v>Quickseller</v>
          </cell>
          <cell r="D227">
            <v>26386</v>
          </cell>
          <cell r="E227">
            <v>39933</v>
          </cell>
          <cell r="F227">
            <v>39993</v>
          </cell>
          <cell r="G227">
            <v>39981</v>
          </cell>
          <cell r="H227">
            <v>1422</v>
          </cell>
          <cell r="I227">
            <v>39981</v>
          </cell>
          <cell r="J227">
            <v>269</v>
          </cell>
          <cell r="K227">
            <v>39983</v>
          </cell>
          <cell r="L227">
            <v>9048.02</v>
          </cell>
        </row>
        <row r="228">
          <cell r="A228" t="str">
            <v>San Miguel Bewery</v>
          </cell>
          <cell r="C228">
            <v>150</v>
          </cell>
          <cell r="D228">
            <v>501517692</v>
          </cell>
          <cell r="E228">
            <v>39983</v>
          </cell>
          <cell r="G228">
            <v>39990</v>
          </cell>
          <cell r="H228">
            <v>1435</v>
          </cell>
          <cell r="I228">
            <v>39990</v>
          </cell>
          <cell r="J228">
            <v>5729485</v>
          </cell>
          <cell r="L228">
            <v>6656.04</v>
          </cell>
        </row>
        <row r="229">
          <cell r="A229" t="str">
            <v>San Miguel Bewery</v>
          </cell>
          <cell r="C229">
            <v>129</v>
          </cell>
          <cell r="D229">
            <v>501509100</v>
          </cell>
          <cell r="E229">
            <v>39980</v>
          </cell>
          <cell r="G229">
            <v>39990</v>
          </cell>
          <cell r="H229">
            <v>1435</v>
          </cell>
          <cell r="I229">
            <v>39990</v>
          </cell>
          <cell r="J229">
            <v>5729485</v>
          </cell>
          <cell r="L229">
            <v>4636.55</v>
          </cell>
        </row>
        <row r="230">
          <cell r="A230" t="str">
            <v>PVF Enterprises</v>
          </cell>
          <cell r="C230">
            <v>115</v>
          </cell>
          <cell r="D230">
            <v>744</v>
          </cell>
          <cell r="E230">
            <v>39981</v>
          </cell>
          <cell r="G230">
            <v>39990</v>
          </cell>
          <cell r="H230">
            <v>1432</v>
          </cell>
          <cell r="I230">
            <v>39990</v>
          </cell>
          <cell r="J230" t="str">
            <v>5729483</v>
          </cell>
          <cell r="L230">
            <v>4717.5</v>
          </cell>
        </row>
        <row r="231">
          <cell r="A231" t="str">
            <v>Payrroll</v>
          </cell>
          <cell r="F231">
            <v>39994</v>
          </cell>
          <cell r="J231" t="str">
            <v>278</v>
          </cell>
          <cell r="L231">
            <v>6276.42</v>
          </cell>
        </row>
        <row r="232">
          <cell r="A232" t="str">
            <v>Payrroll</v>
          </cell>
          <cell r="F232">
            <v>39994</v>
          </cell>
          <cell r="L232">
            <v>199269.49689740871</v>
          </cell>
        </row>
        <row r="233">
          <cell r="F233">
            <v>39994</v>
          </cell>
          <cell r="J233" t="str">
            <v>277</v>
          </cell>
          <cell r="L233">
            <v>6211.85</v>
          </cell>
        </row>
        <row r="235">
          <cell r="A235" t="str">
            <v>Co.8</v>
          </cell>
          <cell r="H235">
            <v>1447</v>
          </cell>
          <cell r="I235">
            <v>39996</v>
          </cell>
          <cell r="J235" t="str">
            <v>WD</v>
          </cell>
          <cell r="K235">
            <v>39996</v>
          </cell>
          <cell r="L235">
            <v>300000</v>
          </cell>
        </row>
        <row r="236">
          <cell r="A236" t="str">
            <v>Italfood</v>
          </cell>
          <cell r="C236">
            <v>98</v>
          </cell>
          <cell r="D236">
            <v>70144</v>
          </cell>
          <cell r="F236">
            <v>40000</v>
          </cell>
          <cell r="H236">
            <v>1451</v>
          </cell>
          <cell r="I236">
            <v>39996</v>
          </cell>
          <cell r="J236">
            <v>282</v>
          </cell>
          <cell r="K236">
            <v>39996</v>
          </cell>
          <cell r="L236">
            <v>16994.23</v>
          </cell>
        </row>
        <row r="237">
          <cell r="A237" t="str">
            <v>Booze</v>
          </cell>
          <cell r="C237" t="str">
            <v>004</v>
          </cell>
          <cell r="D237">
            <v>4276</v>
          </cell>
          <cell r="E237">
            <v>39927</v>
          </cell>
          <cell r="F237">
            <v>40000</v>
          </cell>
          <cell r="H237">
            <v>1454</v>
          </cell>
          <cell r="I237">
            <v>39996</v>
          </cell>
          <cell r="J237">
            <v>285</v>
          </cell>
          <cell r="K237">
            <v>40000</v>
          </cell>
          <cell r="L237">
            <v>11417.14</v>
          </cell>
        </row>
        <row r="238">
          <cell r="A238" t="str">
            <v>Q &amp; H Foods, Inc.</v>
          </cell>
          <cell r="D238" t="str">
            <v>58501/58527</v>
          </cell>
          <cell r="E238">
            <v>39938</v>
          </cell>
          <cell r="F238">
            <v>40000</v>
          </cell>
          <cell r="G238">
            <v>39981</v>
          </cell>
          <cell r="H238">
            <v>1423</v>
          </cell>
          <cell r="I238">
            <v>39981</v>
          </cell>
          <cell r="J238">
            <v>270</v>
          </cell>
          <cell r="K238">
            <v>39983</v>
          </cell>
          <cell r="L238">
            <v>18007.77</v>
          </cell>
        </row>
        <row r="239">
          <cell r="A239" t="str">
            <v>Jas Vegetable</v>
          </cell>
          <cell r="C239">
            <v>176</v>
          </cell>
          <cell r="F239">
            <v>40000</v>
          </cell>
          <cell r="H239">
            <v>1470</v>
          </cell>
          <cell r="I239">
            <v>39996</v>
          </cell>
          <cell r="J239">
            <v>302</v>
          </cell>
          <cell r="K239">
            <v>40001</v>
          </cell>
          <cell r="L239">
            <v>19999.599999999999</v>
          </cell>
        </row>
        <row r="240">
          <cell r="A240" t="str">
            <v>Jas Vegetable</v>
          </cell>
          <cell r="C240">
            <v>142</v>
          </cell>
          <cell r="D240" t="str">
            <v>13658</v>
          </cell>
          <cell r="E240">
            <v>39984</v>
          </cell>
          <cell r="F240">
            <v>40000</v>
          </cell>
          <cell r="H240">
            <v>1462</v>
          </cell>
          <cell r="I240">
            <v>39996</v>
          </cell>
          <cell r="J240">
            <v>293</v>
          </cell>
          <cell r="K240">
            <v>40001</v>
          </cell>
          <cell r="L240">
            <v>6955</v>
          </cell>
        </row>
        <row r="241">
          <cell r="A241" t="str">
            <v>Bernadette Huerta</v>
          </cell>
          <cell r="C241">
            <v>213</v>
          </cell>
          <cell r="F241">
            <v>40000</v>
          </cell>
          <cell r="H241">
            <v>1471</v>
          </cell>
          <cell r="I241">
            <v>40000</v>
          </cell>
          <cell r="J241">
            <v>303</v>
          </cell>
          <cell r="K241">
            <v>40001</v>
          </cell>
          <cell r="L241">
            <v>6500.85</v>
          </cell>
        </row>
        <row r="242">
          <cell r="A242" t="str">
            <v>Sofia Seafood</v>
          </cell>
          <cell r="C242">
            <v>182</v>
          </cell>
          <cell r="F242">
            <v>40000</v>
          </cell>
          <cell r="H242">
            <v>1472</v>
          </cell>
          <cell r="I242">
            <v>40000</v>
          </cell>
          <cell r="J242">
            <v>304</v>
          </cell>
          <cell r="K242">
            <v>40001</v>
          </cell>
          <cell r="L242">
            <v>3671</v>
          </cell>
        </row>
        <row r="243">
          <cell r="A243" t="str">
            <v>BCS System</v>
          </cell>
          <cell r="C243">
            <v>214</v>
          </cell>
          <cell r="F243">
            <v>40000</v>
          </cell>
          <cell r="H243">
            <v>1475</v>
          </cell>
          <cell r="I243">
            <v>40000</v>
          </cell>
          <cell r="J243">
            <v>307</v>
          </cell>
          <cell r="K243">
            <v>40001</v>
          </cell>
          <cell r="L243">
            <v>12900</v>
          </cell>
        </row>
        <row r="244">
          <cell r="A244" t="str">
            <v>PLDT</v>
          </cell>
          <cell r="F244">
            <v>40000</v>
          </cell>
          <cell r="H244">
            <v>1473</v>
          </cell>
          <cell r="I244">
            <v>40000</v>
          </cell>
          <cell r="J244">
            <v>305</v>
          </cell>
          <cell r="K244">
            <v>40001</v>
          </cell>
          <cell r="L244">
            <v>4760.63</v>
          </cell>
        </row>
        <row r="245">
          <cell r="A245" t="str">
            <v>Awin Goyena</v>
          </cell>
          <cell r="F245">
            <v>40003</v>
          </cell>
          <cell r="H245">
            <v>1476</v>
          </cell>
          <cell r="I245">
            <v>40000</v>
          </cell>
          <cell r="J245">
            <v>308</v>
          </cell>
          <cell r="K245">
            <v>40002</v>
          </cell>
          <cell r="L245">
            <v>12000</v>
          </cell>
        </row>
        <row r="246">
          <cell r="A246" t="str">
            <v>Sommerlier Selection</v>
          </cell>
          <cell r="C246" t="str">
            <v>1191/12108/12130/12243/12301/12425/1246/12467/12468</v>
          </cell>
          <cell r="F246">
            <v>40003</v>
          </cell>
          <cell r="H246">
            <v>1477</v>
          </cell>
          <cell r="I246">
            <v>40000</v>
          </cell>
          <cell r="J246">
            <v>309</v>
          </cell>
          <cell r="K246">
            <v>40002</v>
          </cell>
          <cell r="L246">
            <v>98976.8</v>
          </cell>
        </row>
        <row r="247">
          <cell r="A247" t="str">
            <v>Coca Cola Bottles Phils.</v>
          </cell>
          <cell r="C247">
            <v>126</v>
          </cell>
          <cell r="D247" t="str">
            <v>aaio415149-2</v>
          </cell>
          <cell r="E247">
            <v>39973</v>
          </cell>
          <cell r="F247">
            <v>40003</v>
          </cell>
          <cell r="H247">
            <v>1456</v>
          </cell>
          <cell r="I247">
            <v>39996</v>
          </cell>
          <cell r="J247" t="str">
            <v>287</v>
          </cell>
          <cell r="L247">
            <v>10997.92</v>
          </cell>
        </row>
        <row r="248">
          <cell r="A248" t="str">
            <v>Co.8</v>
          </cell>
          <cell r="H248">
            <v>1478</v>
          </cell>
          <cell r="I248">
            <v>40003</v>
          </cell>
          <cell r="K248">
            <v>40003</v>
          </cell>
          <cell r="L248">
            <v>325000</v>
          </cell>
        </row>
        <row r="249">
          <cell r="A249" t="str">
            <v>Bernadette Huerta</v>
          </cell>
          <cell r="C249">
            <v>220</v>
          </cell>
          <cell r="F249">
            <v>40004</v>
          </cell>
          <cell r="H249">
            <v>1479</v>
          </cell>
          <cell r="I249">
            <v>40003</v>
          </cell>
          <cell r="J249" t="str">
            <v>310</v>
          </cell>
          <cell r="K249">
            <v>40004</v>
          </cell>
          <cell r="L249">
            <v>6323.95</v>
          </cell>
        </row>
        <row r="250">
          <cell r="A250" t="str">
            <v>BOC Fao BIR</v>
          </cell>
          <cell r="C250">
            <v>218</v>
          </cell>
          <cell r="F250">
            <v>40004</v>
          </cell>
          <cell r="H250">
            <v>1480</v>
          </cell>
          <cell r="I250">
            <v>40003</v>
          </cell>
          <cell r="J250" t="str">
            <v>311</v>
          </cell>
          <cell r="K250">
            <v>40004</v>
          </cell>
          <cell r="L250">
            <v>23265.81</v>
          </cell>
        </row>
        <row r="251">
          <cell r="A251" t="str">
            <v>BOC Fao BIR</v>
          </cell>
          <cell r="C251">
            <v>217</v>
          </cell>
          <cell r="F251">
            <v>40004</v>
          </cell>
          <cell r="H251">
            <v>1481</v>
          </cell>
          <cell r="I251">
            <v>40003</v>
          </cell>
          <cell r="J251" t="str">
            <v>312</v>
          </cell>
          <cell r="K251">
            <v>40004</v>
          </cell>
          <cell r="L251">
            <v>11228.27</v>
          </cell>
        </row>
        <row r="252">
          <cell r="A252" t="str">
            <v>PVF Enterpise</v>
          </cell>
          <cell r="F252">
            <v>40004</v>
          </cell>
          <cell r="H252">
            <v>1474</v>
          </cell>
          <cell r="I252">
            <v>40000</v>
          </cell>
          <cell r="J252">
            <v>306</v>
          </cell>
          <cell r="K252">
            <v>40004</v>
          </cell>
          <cell r="L252">
            <v>4717.5</v>
          </cell>
        </row>
        <row r="253">
          <cell r="A253" t="str">
            <v>Jjed Phils Inc.</v>
          </cell>
          <cell r="C253" t="str">
            <v>038</v>
          </cell>
          <cell r="D253">
            <v>70680</v>
          </cell>
          <cell r="E253">
            <v>39940</v>
          </cell>
          <cell r="F253">
            <v>40004</v>
          </cell>
          <cell r="G253">
            <v>39996</v>
          </cell>
          <cell r="H253">
            <v>1453</v>
          </cell>
          <cell r="I253">
            <v>39996</v>
          </cell>
          <cell r="J253">
            <v>284</v>
          </cell>
          <cell r="K253">
            <v>40009</v>
          </cell>
          <cell r="L253">
            <v>8055.43</v>
          </cell>
        </row>
        <row r="254">
          <cell r="A254" t="str">
            <v>Kenjo Office Supplies</v>
          </cell>
          <cell r="C254" t="str">
            <v>039/040</v>
          </cell>
          <cell r="D254">
            <v>26402</v>
          </cell>
          <cell r="E254">
            <v>39926</v>
          </cell>
          <cell r="F254">
            <v>40015</v>
          </cell>
          <cell r="H254">
            <v>1455</v>
          </cell>
          <cell r="I254">
            <v>39996</v>
          </cell>
          <cell r="J254">
            <v>286</v>
          </cell>
          <cell r="K254">
            <v>40009</v>
          </cell>
          <cell r="L254">
            <v>3419.2</v>
          </cell>
        </row>
        <row r="255">
          <cell r="A255" t="str">
            <v>JC Care</v>
          </cell>
          <cell r="C255">
            <v>118</v>
          </cell>
          <cell r="D255">
            <v>467</v>
          </cell>
          <cell r="E255">
            <v>39964</v>
          </cell>
          <cell r="F255">
            <v>40007</v>
          </cell>
          <cell r="H255">
            <v>1457</v>
          </cell>
          <cell r="I255">
            <v>39996</v>
          </cell>
          <cell r="J255">
            <v>288</v>
          </cell>
          <cell r="K255">
            <v>40009</v>
          </cell>
          <cell r="L255">
            <v>1473.21</v>
          </cell>
        </row>
        <row r="256">
          <cell r="A256" t="str">
            <v>Hay Struck Inc.</v>
          </cell>
          <cell r="C256" t="str">
            <v>030</v>
          </cell>
          <cell r="D256" t="str">
            <v>074</v>
          </cell>
          <cell r="E256">
            <v>39921</v>
          </cell>
          <cell r="F256">
            <v>40007</v>
          </cell>
          <cell r="H256">
            <v>1464</v>
          </cell>
          <cell r="I256">
            <v>39996</v>
          </cell>
          <cell r="J256" t="str">
            <v>295</v>
          </cell>
          <cell r="K256">
            <v>40009</v>
          </cell>
          <cell r="L256">
            <v>4281.43</v>
          </cell>
        </row>
        <row r="257">
          <cell r="A257" t="str">
            <v>Consolidated Dairy and Frozen Food Corp.</v>
          </cell>
          <cell r="D257">
            <v>384476</v>
          </cell>
          <cell r="E257">
            <v>39906</v>
          </cell>
          <cell r="F257">
            <v>40014</v>
          </cell>
          <cell r="H257">
            <v>1469</v>
          </cell>
          <cell r="I257">
            <v>39996</v>
          </cell>
          <cell r="J257" t="str">
            <v>300</v>
          </cell>
          <cell r="K257">
            <v>40009</v>
          </cell>
          <cell r="L257">
            <v>7879.64</v>
          </cell>
        </row>
        <row r="258">
          <cell r="A258" t="str">
            <v>Pfescorp</v>
          </cell>
          <cell r="C258" t="str">
            <v>091</v>
          </cell>
          <cell r="D258">
            <v>48371</v>
          </cell>
          <cell r="E258">
            <v>39963</v>
          </cell>
          <cell r="F258">
            <v>40007</v>
          </cell>
          <cell r="H258">
            <v>1458</v>
          </cell>
          <cell r="I258">
            <v>39996</v>
          </cell>
          <cell r="J258">
            <v>289</v>
          </cell>
          <cell r="K258">
            <v>40009</v>
          </cell>
          <cell r="L258">
            <v>15698.44</v>
          </cell>
        </row>
        <row r="259">
          <cell r="A259" t="str">
            <v>AS Alvar</v>
          </cell>
          <cell r="D259">
            <v>33336</v>
          </cell>
          <cell r="E259">
            <v>39938</v>
          </cell>
          <cell r="F259">
            <v>40007</v>
          </cell>
          <cell r="H259">
            <v>1468</v>
          </cell>
          <cell r="I259">
            <v>39996</v>
          </cell>
          <cell r="J259" t="str">
            <v>299</v>
          </cell>
          <cell r="K259">
            <v>40009</v>
          </cell>
          <cell r="L259">
            <v>2690.76</v>
          </cell>
        </row>
        <row r="260">
          <cell r="A260" t="str">
            <v>Silverwave Corp.</v>
          </cell>
          <cell r="C260" t="str">
            <v>051</v>
          </cell>
          <cell r="D260">
            <v>5137</v>
          </cell>
          <cell r="E260">
            <v>39941</v>
          </cell>
          <cell r="F260">
            <v>40008</v>
          </cell>
          <cell r="H260">
            <v>1467</v>
          </cell>
          <cell r="I260">
            <v>39996</v>
          </cell>
          <cell r="J260" t="str">
            <v>298</v>
          </cell>
          <cell r="K260">
            <v>40009</v>
          </cell>
          <cell r="L260">
            <v>34390.18</v>
          </cell>
        </row>
        <row r="261">
          <cell r="A261" t="str">
            <v>Italfood Distribution Inc.</v>
          </cell>
          <cell r="C261" t="str">
            <v>034</v>
          </cell>
          <cell r="D261">
            <v>70669</v>
          </cell>
          <cell r="E261">
            <v>39946</v>
          </cell>
          <cell r="F261">
            <v>40007</v>
          </cell>
          <cell r="H261">
            <v>1449</v>
          </cell>
          <cell r="I261">
            <v>39996</v>
          </cell>
          <cell r="J261">
            <v>280</v>
          </cell>
          <cell r="K261">
            <v>40009</v>
          </cell>
          <cell r="L261">
            <v>16582.439999999999</v>
          </cell>
        </row>
        <row r="262">
          <cell r="A262" t="str">
            <v xml:space="preserve">Azuki </v>
          </cell>
          <cell r="C262">
            <v>151</v>
          </cell>
          <cell r="D262" t="str">
            <v>0075</v>
          </cell>
          <cell r="E262">
            <v>39977</v>
          </cell>
          <cell r="F262">
            <v>40007</v>
          </cell>
          <cell r="H262">
            <v>1463</v>
          </cell>
          <cell r="I262">
            <v>39996</v>
          </cell>
          <cell r="J262">
            <v>294</v>
          </cell>
          <cell r="K262">
            <v>40009</v>
          </cell>
          <cell r="L262">
            <v>15000</v>
          </cell>
        </row>
        <row r="263">
          <cell r="A263" t="str">
            <v>Payroll</v>
          </cell>
          <cell r="F263">
            <v>40009</v>
          </cell>
          <cell r="K263">
            <v>40009</v>
          </cell>
          <cell r="L263">
            <v>156784.00916666663</v>
          </cell>
        </row>
        <row r="264">
          <cell r="A264" t="str">
            <v>Payroll</v>
          </cell>
          <cell r="K264">
            <v>40009</v>
          </cell>
          <cell r="L264">
            <v>15230.599999999999</v>
          </cell>
        </row>
        <row r="265">
          <cell r="A265" t="str">
            <v>Triple Five</v>
          </cell>
          <cell r="F265">
            <v>40008</v>
          </cell>
          <cell r="K265">
            <v>40009</v>
          </cell>
          <cell r="L265">
            <v>35200</v>
          </cell>
        </row>
        <row r="266">
          <cell r="A266" t="str">
            <v>Cash/Triple Five</v>
          </cell>
          <cell r="F266">
            <v>40007</v>
          </cell>
          <cell r="K266">
            <v>40009</v>
          </cell>
          <cell r="L266">
            <v>8000</v>
          </cell>
        </row>
        <row r="267">
          <cell r="A267" t="str">
            <v>Honitex</v>
          </cell>
          <cell r="C267" t="str">
            <v>031</v>
          </cell>
          <cell r="D267">
            <v>8047</v>
          </cell>
          <cell r="E267">
            <v>39941</v>
          </cell>
          <cell r="F267">
            <v>40014</v>
          </cell>
          <cell r="H267">
            <v>1452</v>
          </cell>
          <cell r="I267">
            <v>39996</v>
          </cell>
          <cell r="J267">
            <v>283</v>
          </cell>
          <cell r="K267">
            <v>40009</v>
          </cell>
          <cell r="L267">
            <v>13950</v>
          </cell>
        </row>
        <row r="268">
          <cell r="A268" t="str">
            <v>Jas Vegetables</v>
          </cell>
          <cell r="C268">
            <v>223</v>
          </cell>
          <cell r="D268" t="str">
            <v>13670/13673-75</v>
          </cell>
          <cell r="E268" t="str">
            <v>7July 5, 8-10</v>
          </cell>
          <cell r="H268">
            <v>1489</v>
          </cell>
          <cell r="I268">
            <v>40016</v>
          </cell>
          <cell r="J268" t="str">
            <v>319</v>
          </cell>
          <cell r="K268">
            <v>40017</v>
          </cell>
          <cell r="L268">
            <v>11484.5</v>
          </cell>
        </row>
        <row r="269">
          <cell r="A269" t="str">
            <v>Jas Vegetables</v>
          </cell>
          <cell r="C269">
            <v>240</v>
          </cell>
          <cell r="E269" t="str">
            <v>July 7-8, July 11-19, 2009.</v>
          </cell>
          <cell r="H269">
            <v>1489</v>
          </cell>
          <cell r="I269">
            <v>40016</v>
          </cell>
          <cell r="J269" t="str">
            <v>319</v>
          </cell>
          <cell r="K269">
            <v>40017</v>
          </cell>
          <cell r="L269">
            <v>22179.8</v>
          </cell>
        </row>
        <row r="270">
          <cell r="A270" t="str">
            <v>Robinsons Supermarket</v>
          </cell>
          <cell r="F270">
            <v>40018</v>
          </cell>
          <cell r="H270">
            <v>1491</v>
          </cell>
          <cell r="J270">
            <v>322</v>
          </cell>
          <cell r="K270">
            <v>40017</v>
          </cell>
          <cell r="L270">
            <v>44363.11</v>
          </cell>
        </row>
        <row r="271">
          <cell r="A271" t="str">
            <v>Lartizan</v>
          </cell>
          <cell r="C271" t="str">
            <v>041</v>
          </cell>
          <cell r="D271">
            <v>430</v>
          </cell>
          <cell r="E271">
            <v>39917</v>
          </cell>
          <cell r="H271">
            <v>1459</v>
          </cell>
          <cell r="I271">
            <v>39996</v>
          </cell>
          <cell r="J271">
            <v>290</v>
          </cell>
          <cell r="L271">
            <v>64961.919999999998</v>
          </cell>
        </row>
        <row r="272">
          <cell r="A272" t="str">
            <v>Mamboo Food Enterprise</v>
          </cell>
          <cell r="C272" t="str">
            <v>44/71</v>
          </cell>
          <cell r="E272" t="str">
            <v>166/152</v>
          </cell>
          <cell r="F272">
            <v>40018</v>
          </cell>
          <cell r="H272">
            <v>1450</v>
          </cell>
          <cell r="I272">
            <v>39996</v>
          </cell>
          <cell r="J272">
            <v>281</v>
          </cell>
          <cell r="K272">
            <v>40016</v>
          </cell>
          <cell r="L272">
            <v>7244.73</v>
          </cell>
        </row>
        <row r="273">
          <cell r="A273" t="str">
            <v>NBG</v>
          </cell>
          <cell r="K273">
            <v>40017</v>
          </cell>
          <cell r="L273">
            <v>500000</v>
          </cell>
        </row>
        <row r="274">
          <cell r="A274" t="str">
            <v>NBG Employees - May SC</v>
          </cell>
          <cell r="F274">
            <v>40017</v>
          </cell>
          <cell r="H274">
            <v>1485</v>
          </cell>
          <cell r="I274">
            <v>40016</v>
          </cell>
          <cell r="J274">
            <v>315</v>
          </cell>
          <cell r="K274">
            <v>40017</v>
          </cell>
          <cell r="L274">
            <v>16937.47</v>
          </cell>
        </row>
        <row r="275">
          <cell r="A275" t="str">
            <v>Co8 Corp.</v>
          </cell>
          <cell r="F275">
            <v>40018</v>
          </cell>
          <cell r="H275">
            <v>1493</v>
          </cell>
          <cell r="I275">
            <v>40018</v>
          </cell>
          <cell r="K275">
            <v>40018</v>
          </cell>
          <cell r="L275">
            <v>300000</v>
          </cell>
        </row>
        <row r="276">
          <cell r="A276" t="str">
            <v>Manila Water</v>
          </cell>
          <cell r="F276">
            <v>40021</v>
          </cell>
          <cell r="H276">
            <v>1486</v>
          </cell>
          <cell r="I276">
            <v>40016</v>
          </cell>
          <cell r="K276">
            <v>40018</v>
          </cell>
          <cell r="L276">
            <v>1485.29</v>
          </cell>
        </row>
        <row r="277">
          <cell r="A277" t="str">
            <v>San Miguel Brewery</v>
          </cell>
          <cell r="C277">
            <v>233</v>
          </cell>
          <cell r="D277" t="str">
            <v>various si</v>
          </cell>
          <cell r="E277">
            <v>40001</v>
          </cell>
          <cell r="F277">
            <v>40021</v>
          </cell>
          <cell r="H277">
            <v>1497</v>
          </cell>
          <cell r="I277">
            <v>40018</v>
          </cell>
          <cell r="J277" t="str">
            <v>326</v>
          </cell>
          <cell r="K277">
            <v>40018</v>
          </cell>
          <cell r="L277">
            <v>24945.27</v>
          </cell>
        </row>
        <row r="278">
          <cell r="A278" t="str">
            <v>Q&amp;H Foods Inc.</v>
          </cell>
          <cell r="C278" t="str">
            <v>048</v>
          </cell>
          <cell r="D278">
            <v>58879</v>
          </cell>
          <cell r="E278">
            <v>39947</v>
          </cell>
          <cell r="F278">
            <v>40022</v>
          </cell>
          <cell r="H278">
            <v>1466</v>
          </cell>
          <cell r="I278">
            <v>39996</v>
          </cell>
          <cell r="J278" t="str">
            <v>297</v>
          </cell>
          <cell r="K278">
            <v>40018</v>
          </cell>
          <cell r="L278">
            <v>15728.3</v>
          </cell>
        </row>
        <row r="279">
          <cell r="A279" t="str">
            <v>BIR</v>
          </cell>
          <cell r="F279">
            <v>40018</v>
          </cell>
          <cell r="H279">
            <v>1488</v>
          </cell>
          <cell r="I279">
            <v>40016</v>
          </cell>
          <cell r="J279" t="str">
            <v>318</v>
          </cell>
          <cell r="K279">
            <v>40021</v>
          </cell>
          <cell r="L279">
            <v>66632.3</v>
          </cell>
        </row>
        <row r="280">
          <cell r="A280" t="str">
            <v>Meralco</v>
          </cell>
          <cell r="F280">
            <v>40021</v>
          </cell>
          <cell r="H280">
            <v>1487</v>
          </cell>
          <cell r="I280">
            <v>40016</v>
          </cell>
          <cell r="J280" t="str">
            <v>317</v>
          </cell>
          <cell r="K280">
            <v>40021</v>
          </cell>
          <cell r="L280">
            <v>7240.8</v>
          </cell>
        </row>
        <row r="281">
          <cell r="F281">
            <v>40018</v>
          </cell>
          <cell r="K281">
            <v>40018</v>
          </cell>
          <cell r="L281">
            <v>8569.5</v>
          </cell>
        </row>
        <row r="282">
          <cell r="A282" t="str">
            <v>City Treasuer of Makati</v>
          </cell>
          <cell r="H282">
            <v>1490</v>
          </cell>
          <cell r="L282">
            <v>8531</v>
          </cell>
        </row>
        <row r="283">
          <cell r="A283" t="str">
            <v>Coca Cola Bottles Phils.</v>
          </cell>
          <cell r="C283" t="str">
            <v>189</v>
          </cell>
          <cell r="D283" t="str">
            <v>423223-5</v>
          </cell>
          <cell r="E283">
            <v>39991</v>
          </cell>
          <cell r="F283">
            <v>40022</v>
          </cell>
          <cell r="H283">
            <v>1498</v>
          </cell>
          <cell r="I283">
            <v>40018</v>
          </cell>
          <cell r="J283">
            <v>327</v>
          </cell>
          <cell r="L283">
            <v>15272.41</v>
          </cell>
        </row>
        <row r="284">
          <cell r="A284" t="str">
            <v>S&amp;L Fine Foods</v>
          </cell>
          <cell r="C284" t="str">
            <v>053/534</v>
          </cell>
          <cell r="D284">
            <v>33583599</v>
          </cell>
          <cell r="E284">
            <v>39946</v>
          </cell>
          <cell r="F284">
            <v>40021</v>
          </cell>
          <cell r="H284">
            <v>1496</v>
          </cell>
          <cell r="I284">
            <v>40018</v>
          </cell>
          <cell r="J284">
            <v>325</v>
          </cell>
          <cell r="K284">
            <v>40018</v>
          </cell>
          <cell r="L284">
            <v>23231.71</v>
          </cell>
        </row>
        <row r="285">
          <cell r="A285" t="str">
            <v>PVF Enteprise</v>
          </cell>
          <cell r="C285">
            <v>211</v>
          </cell>
          <cell r="D285">
            <v>5394</v>
          </cell>
          <cell r="E285">
            <v>39996</v>
          </cell>
          <cell r="F285">
            <v>40023</v>
          </cell>
          <cell r="H285">
            <v>1495</v>
          </cell>
          <cell r="I285">
            <v>40018</v>
          </cell>
          <cell r="J285" t="str">
            <v>324</v>
          </cell>
          <cell r="L285">
            <v>7590</v>
          </cell>
        </row>
        <row r="286">
          <cell r="A286" t="str">
            <v>Sommelier</v>
          </cell>
          <cell r="F286">
            <v>13697</v>
          </cell>
          <cell r="H286">
            <v>1494</v>
          </cell>
          <cell r="I286">
            <v>40018</v>
          </cell>
          <cell r="J286" t="str">
            <v>323</v>
          </cell>
          <cell r="L286">
            <v>60363.73</v>
          </cell>
        </row>
        <row r="287">
          <cell r="A287" t="str">
            <v>Sofia Seafood</v>
          </cell>
          <cell r="C287">
            <v>224</v>
          </cell>
          <cell r="D287">
            <v>26841</v>
          </cell>
          <cell r="E287">
            <v>40004</v>
          </cell>
          <cell r="F287">
            <v>40018</v>
          </cell>
          <cell r="H287">
            <v>1492</v>
          </cell>
          <cell r="I287">
            <v>40016</v>
          </cell>
          <cell r="J287">
            <v>320</v>
          </cell>
          <cell r="K287">
            <v>40017</v>
          </cell>
          <cell r="L287">
            <v>1380</v>
          </cell>
        </row>
        <row r="288">
          <cell r="A288" t="str">
            <v>Triple Five</v>
          </cell>
          <cell r="F288">
            <v>40024</v>
          </cell>
          <cell r="L288">
            <v>10469.85</v>
          </cell>
        </row>
        <row r="289">
          <cell r="F289">
            <v>40024</v>
          </cell>
          <cell r="L289">
            <v>35200</v>
          </cell>
        </row>
        <row r="290">
          <cell r="F290">
            <v>40024</v>
          </cell>
          <cell r="L290">
            <v>171928.77</v>
          </cell>
        </row>
        <row r="291">
          <cell r="F291">
            <v>40021</v>
          </cell>
          <cell r="L291">
            <v>33659.300000000003</v>
          </cell>
        </row>
        <row r="293">
          <cell r="A293" t="str">
            <v>Synegy Sales</v>
          </cell>
          <cell r="C293" t="str">
            <v>180/200</v>
          </cell>
          <cell r="D293" t="str">
            <v>54372;54577</v>
          </cell>
          <cell r="E293" t="str">
            <v>6/15/09;6/22/09</v>
          </cell>
          <cell r="F293">
            <v>40031</v>
          </cell>
          <cell r="H293">
            <v>1516</v>
          </cell>
          <cell r="I293">
            <v>40025</v>
          </cell>
          <cell r="J293">
            <v>347</v>
          </cell>
          <cell r="K293">
            <v>40028</v>
          </cell>
          <cell r="L293">
            <v>10051.61</v>
          </cell>
        </row>
        <row r="294">
          <cell r="A294" t="str">
            <v>Consolidated Dairy</v>
          </cell>
          <cell r="C294">
            <v>96</v>
          </cell>
          <cell r="D294">
            <v>388428</v>
          </cell>
          <cell r="E294">
            <v>39949</v>
          </cell>
          <cell r="F294">
            <v>40032</v>
          </cell>
          <cell r="H294">
            <v>1521</v>
          </cell>
          <cell r="I294">
            <v>40025</v>
          </cell>
          <cell r="J294">
            <v>352</v>
          </cell>
          <cell r="K294">
            <v>40028</v>
          </cell>
          <cell r="L294">
            <v>10325.700000000001</v>
          </cell>
        </row>
        <row r="295">
          <cell r="A295" t="str">
            <v>Sign Parameters</v>
          </cell>
          <cell r="E295" t="str">
            <v>.</v>
          </cell>
          <cell r="F295">
            <v>40029</v>
          </cell>
          <cell r="H295">
            <v>1525</v>
          </cell>
          <cell r="I295">
            <v>40025</v>
          </cell>
          <cell r="J295">
            <v>356</v>
          </cell>
          <cell r="K295">
            <v>40028</v>
          </cell>
          <cell r="L295">
            <v>16850</v>
          </cell>
        </row>
        <row r="296">
          <cell r="A296" t="str">
            <v>Pfescorp.</v>
          </cell>
          <cell r="C296">
            <v>226</v>
          </cell>
          <cell r="D296">
            <v>48740</v>
          </cell>
          <cell r="E296">
            <v>40001</v>
          </cell>
          <cell r="F296">
            <v>40029</v>
          </cell>
          <cell r="H296">
            <v>1512</v>
          </cell>
          <cell r="I296">
            <v>40025</v>
          </cell>
          <cell r="J296">
            <v>343</v>
          </cell>
          <cell r="K296">
            <v>40028</v>
          </cell>
          <cell r="L296">
            <v>13530.94</v>
          </cell>
        </row>
        <row r="297">
          <cell r="A297" t="str">
            <v>Pfescorp.</v>
          </cell>
          <cell r="C297">
            <v>140</v>
          </cell>
          <cell r="D297">
            <v>48557</v>
          </cell>
          <cell r="E297">
            <v>39983</v>
          </cell>
          <cell r="F297">
            <v>40029</v>
          </cell>
          <cell r="H297">
            <v>1513</v>
          </cell>
          <cell r="I297">
            <v>40025</v>
          </cell>
          <cell r="J297">
            <v>344</v>
          </cell>
          <cell r="K297">
            <v>40028</v>
          </cell>
          <cell r="L297">
            <v>12548.56</v>
          </cell>
        </row>
        <row r="298">
          <cell r="A298" t="str">
            <v>Italfood</v>
          </cell>
          <cell r="C298">
            <v>93</v>
          </cell>
          <cell r="D298">
            <v>71276</v>
          </cell>
          <cell r="E298">
            <v>39962</v>
          </cell>
          <cell r="F298">
            <v>40029</v>
          </cell>
          <cell r="H298">
            <v>1514</v>
          </cell>
          <cell r="I298">
            <v>40025</v>
          </cell>
          <cell r="J298">
            <v>345</v>
          </cell>
          <cell r="K298">
            <v>40028</v>
          </cell>
          <cell r="L298">
            <v>7971.98</v>
          </cell>
        </row>
        <row r="299">
          <cell r="A299" t="str">
            <v>Silverwave Corp.</v>
          </cell>
          <cell r="C299">
            <v>147</v>
          </cell>
          <cell r="D299">
            <v>5380</v>
          </cell>
          <cell r="E299">
            <v>39970</v>
          </cell>
          <cell r="F299">
            <v>40031</v>
          </cell>
          <cell r="H299">
            <v>1509</v>
          </cell>
          <cell r="I299">
            <v>40025</v>
          </cell>
          <cell r="J299">
            <v>339</v>
          </cell>
          <cell r="K299">
            <v>40028</v>
          </cell>
          <cell r="L299">
            <v>21565.71</v>
          </cell>
        </row>
        <row r="300">
          <cell r="A300" t="str">
            <v>Consolidated Dairy</v>
          </cell>
          <cell r="C300">
            <v>134</v>
          </cell>
          <cell r="D300">
            <v>390848</v>
          </cell>
          <cell r="E300">
            <v>39975</v>
          </cell>
          <cell r="F300">
            <v>40038</v>
          </cell>
          <cell r="H300">
            <v>1520</v>
          </cell>
          <cell r="I300">
            <v>40025</v>
          </cell>
          <cell r="J300">
            <v>351</v>
          </cell>
          <cell r="L300">
            <v>9384.18</v>
          </cell>
        </row>
        <row r="301">
          <cell r="A301" t="str">
            <v>Booze Online</v>
          </cell>
          <cell r="C301" t="str">
            <v>006</v>
          </cell>
          <cell r="D301">
            <v>5278</v>
          </cell>
          <cell r="E301">
            <v>39941</v>
          </cell>
          <cell r="F301">
            <v>40036</v>
          </cell>
          <cell r="H301">
            <v>1524</v>
          </cell>
          <cell r="I301">
            <v>40025</v>
          </cell>
          <cell r="J301">
            <v>355</v>
          </cell>
          <cell r="L301">
            <v>35638.93</v>
          </cell>
        </row>
        <row r="302">
          <cell r="A302" t="str">
            <v>PLDT</v>
          </cell>
          <cell r="F302">
            <v>40035</v>
          </cell>
          <cell r="H302">
            <v>1533</v>
          </cell>
          <cell r="I302">
            <v>40029</v>
          </cell>
          <cell r="J302">
            <v>362</v>
          </cell>
          <cell r="L302">
            <v>1470.8</v>
          </cell>
        </row>
        <row r="303">
          <cell r="A303" t="str">
            <v>Benadette Huerta</v>
          </cell>
          <cell r="C303">
            <v>289</v>
          </cell>
          <cell r="F303">
            <v>40031</v>
          </cell>
          <cell r="H303">
            <v>1529</v>
          </cell>
          <cell r="I303">
            <v>40029</v>
          </cell>
          <cell r="J303">
            <v>358</v>
          </cell>
          <cell r="L303">
            <v>5448.03</v>
          </cell>
        </row>
        <row r="304">
          <cell r="A304" t="str">
            <v>Dionescio Caña</v>
          </cell>
          <cell r="C304">
            <v>286</v>
          </cell>
          <cell r="F304">
            <v>40029</v>
          </cell>
          <cell r="H304">
            <v>1531</v>
          </cell>
          <cell r="I304">
            <v>40029</v>
          </cell>
          <cell r="L304">
            <v>5731.92</v>
          </cell>
        </row>
        <row r="305">
          <cell r="A305" t="str">
            <v>Jas Vegetables</v>
          </cell>
          <cell r="C305" t="str">
            <v>272/281</v>
          </cell>
          <cell r="D305" t="str">
            <v>variou si</v>
          </cell>
          <cell r="F305">
            <v>40036</v>
          </cell>
          <cell r="H305">
            <v>1517</v>
          </cell>
          <cell r="I305">
            <v>40025</v>
          </cell>
          <cell r="J305">
            <v>348</v>
          </cell>
          <cell r="L305">
            <v>14051.2</v>
          </cell>
        </row>
        <row r="306">
          <cell r="A306" t="str">
            <v>Megatonne</v>
          </cell>
          <cell r="C306">
            <v>248</v>
          </cell>
          <cell r="D306">
            <v>11633</v>
          </cell>
          <cell r="F306">
            <v>40035</v>
          </cell>
          <cell r="H306">
            <v>1518</v>
          </cell>
          <cell r="I306">
            <v>11475</v>
          </cell>
          <cell r="J306">
            <v>349</v>
          </cell>
          <cell r="L306">
            <v>25767.86</v>
          </cell>
        </row>
        <row r="307">
          <cell r="A307" t="str">
            <v>Q&amp;H Foods, Inc,</v>
          </cell>
          <cell r="C307">
            <v>146</v>
          </cell>
          <cell r="D307">
            <v>564</v>
          </cell>
          <cell r="E307">
            <v>39980</v>
          </cell>
          <cell r="F307">
            <v>40035</v>
          </cell>
          <cell r="H307">
            <v>1527</v>
          </cell>
          <cell r="I307">
            <v>40025</v>
          </cell>
          <cell r="J307">
            <v>342</v>
          </cell>
          <cell r="L307">
            <v>14469.64</v>
          </cell>
        </row>
        <row r="308">
          <cell r="A308" t="str">
            <v>Bee Hong</v>
          </cell>
          <cell r="C308">
            <v>244</v>
          </cell>
          <cell r="D308">
            <v>15069</v>
          </cell>
          <cell r="E308">
            <v>40010</v>
          </cell>
          <cell r="F308">
            <v>40035</v>
          </cell>
          <cell r="H308">
            <v>1507</v>
          </cell>
          <cell r="I308">
            <v>40025</v>
          </cell>
          <cell r="J308">
            <v>337</v>
          </cell>
          <cell r="L308">
            <v>5346</v>
          </cell>
        </row>
        <row r="309">
          <cell r="A309" t="str">
            <v>AS Alvar Enterprise</v>
          </cell>
          <cell r="C309">
            <v>243</v>
          </cell>
          <cell r="D309">
            <v>21748</v>
          </cell>
          <cell r="E309">
            <v>40010</v>
          </cell>
          <cell r="F309">
            <v>40035</v>
          </cell>
          <cell r="H309">
            <v>1508</v>
          </cell>
          <cell r="I309">
            <v>40025</v>
          </cell>
          <cell r="J309">
            <v>338</v>
          </cell>
          <cell r="L309">
            <v>1134.78</v>
          </cell>
        </row>
        <row r="310">
          <cell r="A310" t="str">
            <v>Quickeseller Corp.</v>
          </cell>
          <cell r="C310">
            <v>181</v>
          </cell>
          <cell r="D310">
            <v>24802</v>
          </cell>
          <cell r="E310">
            <v>39984</v>
          </cell>
          <cell r="F310">
            <v>40032</v>
          </cell>
          <cell r="H310">
            <v>1505</v>
          </cell>
          <cell r="I310">
            <v>40025</v>
          </cell>
          <cell r="J310">
            <v>335</v>
          </cell>
          <cell r="K310">
            <v>40039</v>
          </cell>
          <cell r="L310">
            <v>26588.68</v>
          </cell>
        </row>
        <row r="311">
          <cell r="A311" t="str">
            <v xml:space="preserve">BIR </v>
          </cell>
          <cell r="C311">
            <v>314</v>
          </cell>
          <cell r="F311">
            <v>40035</v>
          </cell>
          <cell r="H311">
            <v>1538</v>
          </cell>
          <cell r="I311">
            <v>40035</v>
          </cell>
          <cell r="J311">
            <v>364</v>
          </cell>
          <cell r="K311">
            <v>40035</v>
          </cell>
          <cell r="L311">
            <v>33657.4</v>
          </cell>
        </row>
        <row r="312">
          <cell r="F312">
            <v>40057</v>
          </cell>
          <cell r="L312">
            <v>5014.82</v>
          </cell>
        </row>
        <row r="313">
          <cell r="A313" t="str">
            <v>Tiple Five Resources</v>
          </cell>
          <cell r="C313">
            <v>310</v>
          </cell>
          <cell r="F313">
            <v>40039</v>
          </cell>
          <cell r="H313">
            <v>1540</v>
          </cell>
          <cell r="I313">
            <v>40035</v>
          </cell>
          <cell r="J313">
            <v>365</v>
          </cell>
          <cell r="K313">
            <v>40038</v>
          </cell>
          <cell r="L313">
            <v>35200</v>
          </cell>
        </row>
        <row r="314">
          <cell r="A314" t="str">
            <v>Co.8</v>
          </cell>
          <cell r="I314">
            <v>40032</v>
          </cell>
          <cell r="K314">
            <v>40034</v>
          </cell>
          <cell r="L314">
            <v>350000</v>
          </cell>
        </row>
        <row r="315">
          <cell r="A315" t="str">
            <v>Co.8</v>
          </cell>
          <cell r="F315">
            <v>40032</v>
          </cell>
          <cell r="K315">
            <v>40032</v>
          </cell>
          <cell r="L315">
            <v>100000</v>
          </cell>
        </row>
        <row r="316">
          <cell r="A316" t="str">
            <v>NBG Employees</v>
          </cell>
          <cell r="F316">
            <v>40039</v>
          </cell>
          <cell r="K316">
            <v>40039</v>
          </cell>
          <cell r="L316">
            <v>175650.47089999996</v>
          </cell>
        </row>
        <row r="317">
          <cell r="A317" t="str">
            <v>NBG Employees</v>
          </cell>
          <cell r="F317">
            <v>40042</v>
          </cell>
          <cell r="H317">
            <v>1561</v>
          </cell>
          <cell r="K317">
            <v>40042</v>
          </cell>
          <cell r="L317">
            <v>8915.9364999999998</v>
          </cell>
        </row>
        <row r="318">
          <cell r="A318" t="str">
            <v>Bee Hong</v>
          </cell>
          <cell r="D318">
            <v>28417</v>
          </cell>
          <cell r="E318">
            <v>39938</v>
          </cell>
          <cell r="F318">
            <v>40042</v>
          </cell>
          <cell r="G318">
            <v>1548</v>
          </cell>
          <cell r="H318">
            <v>1548</v>
          </cell>
          <cell r="I318">
            <v>40035</v>
          </cell>
          <cell r="J318">
            <v>373</v>
          </cell>
          <cell r="K318">
            <v>40040</v>
          </cell>
          <cell r="L318">
            <v>3567.86</v>
          </cell>
        </row>
        <row r="319">
          <cell r="A319" t="str">
            <v>S&amp;L Fine Foods</v>
          </cell>
          <cell r="C319">
            <v>77</v>
          </cell>
          <cell r="D319">
            <v>3446</v>
          </cell>
          <cell r="E319">
            <v>39953</v>
          </cell>
          <cell r="F319">
            <v>40042</v>
          </cell>
          <cell r="H319">
            <v>1554</v>
          </cell>
          <cell r="I319">
            <v>40035</v>
          </cell>
          <cell r="J319">
            <v>379</v>
          </cell>
          <cell r="K319">
            <v>40040</v>
          </cell>
          <cell r="L319">
            <v>21849.85</v>
          </cell>
        </row>
        <row r="320">
          <cell r="A320" t="str">
            <v>S&amp;L Fine Foods</v>
          </cell>
          <cell r="C320">
            <v>99</v>
          </cell>
          <cell r="D320">
            <v>3593</v>
          </cell>
          <cell r="E320">
            <v>39966</v>
          </cell>
          <cell r="F320">
            <v>40042</v>
          </cell>
          <cell r="H320">
            <v>1553</v>
          </cell>
          <cell r="I320">
            <v>40037</v>
          </cell>
          <cell r="J320">
            <v>378</v>
          </cell>
          <cell r="K320">
            <v>40040</v>
          </cell>
          <cell r="L320">
            <v>32839.1</v>
          </cell>
        </row>
        <row r="321">
          <cell r="A321" t="str">
            <v>Classic Fine</v>
          </cell>
          <cell r="C321">
            <v>191</v>
          </cell>
          <cell r="D321">
            <v>109423</v>
          </cell>
          <cell r="E321">
            <v>39991</v>
          </cell>
          <cell r="F321">
            <v>40043</v>
          </cell>
          <cell r="G321">
            <v>40035</v>
          </cell>
          <cell r="H321">
            <v>1550</v>
          </cell>
          <cell r="I321">
            <v>40037</v>
          </cell>
          <cell r="J321">
            <v>375</v>
          </cell>
          <cell r="K321">
            <v>40040</v>
          </cell>
          <cell r="L321">
            <v>6422.14</v>
          </cell>
        </row>
        <row r="322">
          <cell r="A322" t="str">
            <v>Maria Concepcion Villoso</v>
          </cell>
          <cell r="F322">
            <v>40036</v>
          </cell>
          <cell r="H322">
            <v>1532</v>
          </cell>
          <cell r="I322">
            <v>40029</v>
          </cell>
          <cell r="J322">
            <v>361</v>
          </cell>
          <cell r="K322">
            <v>40036</v>
          </cell>
          <cell r="L322">
            <v>13789.78</v>
          </cell>
        </row>
        <row r="323">
          <cell r="A323" t="str">
            <v>Pfescorp.</v>
          </cell>
          <cell r="D323">
            <v>34450</v>
          </cell>
          <cell r="E323">
            <v>39903</v>
          </cell>
          <cell r="F323">
            <v>40036</v>
          </cell>
          <cell r="H323">
            <v>1526</v>
          </cell>
          <cell r="I323">
            <v>40025</v>
          </cell>
          <cell r="J323">
            <v>357</v>
          </cell>
          <cell r="K323">
            <v>40039</v>
          </cell>
          <cell r="L323">
            <v>14500.5</v>
          </cell>
        </row>
        <row r="324">
          <cell r="A324" t="str">
            <v>Realsoft</v>
          </cell>
          <cell r="C324">
            <v>251</v>
          </cell>
          <cell r="D324" t="str">
            <v>001</v>
          </cell>
          <cell r="F324">
            <v>40043</v>
          </cell>
          <cell r="H324">
            <v>1519</v>
          </cell>
          <cell r="I324">
            <v>40025</v>
          </cell>
          <cell r="J324">
            <v>350</v>
          </cell>
          <cell r="K324">
            <v>40039</v>
          </cell>
          <cell r="L324">
            <v>18844.87</v>
          </cell>
        </row>
        <row r="325">
          <cell r="A325" t="str">
            <v>Gio M-Trading</v>
          </cell>
          <cell r="C325">
            <v>303</v>
          </cell>
          <cell r="F325">
            <v>40043</v>
          </cell>
          <cell r="G325">
            <v>40035</v>
          </cell>
          <cell r="H325">
            <v>1545</v>
          </cell>
          <cell r="I325">
            <v>40035</v>
          </cell>
          <cell r="J325">
            <v>370</v>
          </cell>
          <cell r="K325">
            <v>40042</v>
          </cell>
          <cell r="L325">
            <v>6445</v>
          </cell>
        </row>
        <row r="326">
          <cell r="A326" t="str">
            <v>SF Asuncion</v>
          </cell>
          <cell r="C326">
            <v>269</v>
          </cell>
          <cell r="D326">
            <v>2744</v>
          </cell>
          <cell r="E326">
            <v>40016</v>
          </cell>
          <cell r="F326">
            <v>40044</v>
          </cell>
          <cell r="G326">
            <v>40035</v>
          </cell>
          <cell r="H326">
            <v>1549</v>
          </cell>
          <cell r="I326">
            <v>40035</v>
          </cell>
          <cell r="J326">
            <v>374</v>
          </cell>
          <cell r="K326">
            <v>40043</v>
          </cell>
          <cell r="L326">
            <v>9350</v>
          </cell>
        </row>
        <row r="327">
          <cell r="A327" t="str">
            <v>BOC  Fao BIR</v>
          </cell>
          <cell r="F327">
            <v>40045</v>
          </cell>
          <cell r="H327">
            <v>1585</v>
          </cell>
          <cell r="I327">
            <v>40044</v>
          </cell>
          <cell r="J327">
            <v>408</v>
          </cell>
          <cell r="K327">
            <v>40045</v>
          </cell>
          <cell r="L327">
            <v>95353.2</v>
          </cell>
        </row>
        <row r="328">
          <cell r="A328" t="str">
            <v>Co8.Corp</v>
          </cell>
          <cell r="K328">
            <v>40043</v>
          </cell>
          <cell r="L328">
            <v>400000</v>
          </cell>
        </row>
        <row r="329">
          <cell r="A329" t="str">
            <v>Hypomega</v>
          </cell>
          <cell r="C329">
            <v>291</v>
          </cell>
          <cell r="D329">
            <v>12764</v>
          </cell>
          <cell r="E329">
            <v>40028</v>
          </cell>
          <cell r="F329">
            <v>40043</v>
          </cell>
          <cell r="G329">
            <v>40035</v>
          </cell>
          <cell r="H329">
            <v>1547</v>
          </cell>
          <cell r="I329">
            <v>40035</v>
          </cell>
          <cell r="J329">
            <v>372</v>
          </cell>
          <cell r="K329">
            <v>40042</v>
          </cell>
          <cell r="L329">
            <v>8320</v>
          </cell>
        </row>
        <row r="330">
          <cell r="A330" t="str">
            <v>San Miguel Brewery</v>
          </cell>
          <cell r="C330">
            <v>282</v>
          </cell>
          <cell r="F330">
            <v>40043</v>
          </cell>
          <cell r="H330">
            <v>1557</v>
          </cell>
          <cell r="I330">
            <v>40037</v>
          </cell>
          <cell r="K330">
            <v>40037</v>
          </cell>
          <cell r="L330">
            <v>6127.79</v>
          </cell>
        </row>
        <row r="331">
          <cell r="A331" t="str">
            <v>Berndette Huerta</v>
          </cell>
          <cell r="C331">
            <v>316</v>
          </cell>
          <cell r="F331">
            <v>40042</v>
          </cell>
          <cell r="H331">
            <v>1562</v>
          </cell>
          <cell r="I331">
            <v>40037</v>
          </cell>
          <cell r="K331">
            <v>40042</v>
          </cell>
          <cell r="L331">
            <v>7170.78</v>
          </cell>
        </row>
        <row r="332">
          <cell r="A332" t="str">
            <v>Joy Miller</v>
          </cell>
          <cell r="F332">
            <v>40043</v>
          </cell>
          <cell r="H332">
            <v>1567</v>
          </cell>
          <cell r="I332">
            <v>40042</v>
          </cell>
          <cell r="K332">
            <v>40043</v>
          </cell>
          <cell r="L332">
            <v>5434.12</v>
          </cell>
        </row>
        <row r="333">
          <cell r="A333" t="str">
            <v>Elma Duldulao</v>
          </cell>
          <cell r="F333">
            <v>40044</v>
          </cell>
          <cell r="H333">
            <v>1566</v>
          </cell>
          <cell r="K333">
            <v>40043</v>
          </cell>
          <cell r="L333">
            <v>5427.3</v>
          </cell>
        </row>
        <row r="334">
          <cell r="A334" t="str">
            <v>Lawricel Del Rosario</v>
          </cell>
          <cell r="F334">
            <v>40044</v>
          </cell>
          <cell r="H334">
            <v>1584</v>
          </cell>
          <cell r="K334">
            <v>40044</v>
          </cell>
          <cell r="L334">
            <v>24266.67</v>
          </cell>
        </row>
        <row r="335">
          <cell r="A335" t="str">
            <v>Berndette Huerta</v>
          </cell>
          <cell r="F335">
            <v>40045</v>
          </cell>
          <cell r="H335">
            <v>1583</v>
          </cell>
          <cell r="K335">
            <v>40045</v>
          </cell>
          <cell r="L335">
            <v>8816.2999999999993</v>
          </cell>
        </row>
        <row r="336">
          <cell r="A336" t="str">
            <v>Jelly Martens(DePhiCo)</v>
          </cell>
          <cell r="C336" t="str">
            <v>014</v>
          </cell>
          <cell r="E336">
            <v>39550</v>
          </cell>
          <cell r="F336">
            <v>40049</v>
          </cell>
          <cell r="H336">
            <v>1580</v>
          </cell>
          <cell r="I336">
            <v>40043</v>
          </cell>
          <cell r="J336">
            <v>394</v>
          </cell>
          <cell r="L336">
            <v>40960</v>
          </cell>
        </row>
        <row r="337">
          <cell r="A337" t="str">
            <v>Jelly Martens(DePhiCo)</v>
          </cell>
          <cell r="C337" t="str">
            <v>010</v>
          </cell>
          <cell r="E337">
            <v>39948</v>
          </cell>
          <cell r="F337">
            <v>40049</v>
          </cell>
          <cell r="H337">
            <v>1579</v>
          </cell>
          <cell r="I337">
            <v>40043</v>
          </cell>
          <cell r="J337">
            <v>393</v>
          </cell>
          <cell r="L337">
            <v>4332</v>
          </cell>
        </row>
        <row r="338">
          <cell r="A338" t="str">
            <v>Jelly Martens(DePhiCo)</v>
          </cell>
          <cell r="C338" t="str">
            <v>011</v>
          </cell>
          <cell r="E338">
            <v>39899</v>
          </cell>
          <cell r="F338">
            <v>40049</v>
          </cell>
          <cell r="H338">
            <v>1579</v>
          </cell>
          <cell r="I338">
            <v>40043</v>
          </cell>
          <cell r="J338">
            <v>393</v>
          </cell>
          <cell r="L338">
            <v>20192</v>
          </cell>
        </row>
        <row r="339">
          <cell r="A339" t="str">
            <v>Jelly Martens(DePhiCo)</v>
          </cell>
          <cell r="C339" t="str">
            <v>012</v>
          </cell>
          <cell r="E339">
            <v>39948</v>
          </cell>
          <cell r="F339">
            <v>40049</v>
          </cell>
          <cell r="H339">
            <v>1579</v>
          </cell>
          <cell r="I339">
            <v>40043</v>
          </cell>
          <cell r="J339">
            <v>393</v>
          </cell>
          <cell r="L339">
            <v>5708</v>
          </cell>
        </row>
        <row r="340">
          <cell r="A340" t="str">
            <v>Jelly Martens(DePhiCo)</v>
          </cell>
          <cell r="C340" t="str">
            <v>013</v>
          </cell>
          <cell r="E340">
            <v>39910</v>
          </cell>
          <cell r="F340">
            <v>40049</v>
          </cell>
          <cell r="H340">
            <v>1579</v>
          </cell>
          <cell r="I340">
            <v>40043</v>
          </cell>
          <cell r="J340">
            <v>393</v>
          </cell>
          <cell r="L340">
            <v>1476</v>
          </cell>
        </row>
        <row r="341">
          <cell r="A341" t="str">
            <v>Ingrid Nagl</v>
          </cell>
          <cell r="F341">
            <v>40051</v>
          </cell>
          <cell r="G341">
            <v>40035</v>
          </cell>
          <cell r="H341">
            <v>1556</v>
          </cell>
          <cell r="I341">
            <v>40035</v>
          </cell>
          <cell r="J341">
            <v>381</v>
          </cell>
          <cell r="L341">
            <v>40000</v>
          </cell>
        </row>
        <row r="342">
          <cell r="A342" t="str">
            <v>Sommelier</v>
          </cell>
          <cell r="C342">
            <v>311</v>
          </cell>
          <cell r="F342">
            <v>40049</v>
          </cell>
          <cell r="H342">
            <v>1558</v>
          </cell>
          <cell r="I342">
            <v>40038</v>
          </cell>
          <cell r="J342">
            <v>383</v>
          </cell>
          <cell r="L342">
            <v>56481.74</v>
          </cell>
        </row>
        <row r="343">
          <cell r="A343" t="str">
            <v>JC Care</v>
          </cell>
          <cell r="C343">
            <v>119</v>
          </cell>
          <cell r="D343" t="str">
            <v>473/474</v>
          </cell>
          <cell r="E343">
            <v>39971</v>
          </cell>
          <cell r="F343">
            <v>40045</v>
          </cell>
          <cell r="G343">
            <v>40035</v>
          </cell>
          <cell r="H343">
            <v>1543</v>
          </cell>
          <cell r="I343">
            <v>40035</v>
          </cell>
          <cell r="J343">
            <v>368</v>
          </cell>
          <cell r="K343">
            <v>40040</v>
          </cell>
          <cell r="L343">
            <v>2946.42</v>
          </cell>
        </row>
        <row r="344">
          <cell r="A344" t="str">
            <v>JC Care</v>
          </cell>
          <cell r="C344" t="str">
            <v>229/203</v>
          </cell>
          <cell r="D344" t="str">
            <v>479/486</v>
          </cell>
          <cell r="E344">
            <v>40035</v>
          </cell>
          <cell r="F344">
            <v>40045</v>
          </cell>
          <cell r="G344">
            <v>40035</v>
          </cell>
          <cell r="H344">
            <v>1555</v>
          </cell>
          <cell r="I344">
            <v>40035</v>
          </cell>
          <cell r="J344">
            <v>380</v>
          </cell>
          <cell r="K344">
            <v>40040</v>
          </cell>
          <cell r="L344">
            <v>2946.42</v>
          </cell>
        </row>
        <row r="345">
          <cell r="A345" t="str">
            <v>New So's Enterprise</v>
          </cell>
          <cell r="C345" t="str">
            <v>42/80</v>
          </cell>
          <cell r="D345" t="str">
            <v>223349/225767</v>
          </cell>
          <cell r="E345">
            <v>39953</v>
          </cell>
          <cell r="F345">
            <v>40045</v>
          </cell>
          <cell r="H345">
            <v>1504</v>
          </cell>
          <cell r="I345">
            <v>40025</v>
          </cell>
          <cell r="J345">
            <v>334</v>
          </cell>
          <cell r="K345">
            <v>40039</v>
          </cell>
          <cell r="L345">
            <v>5053.4799999999996</v>
          </cell>
        </row>
        <row r="346">
          <cell r="A346" t="str">
            <v>Quickeseller Corp.</v>
          </cell>
          <cell r="C346">
            <v>315</v>
          </cell>
          <cell r="D346">
            <v>47126</v>
          </cell>
          <cell r="E346">
            <v>40038</v>
          </cell>
          <cell r="F346">
            <v>40053</v>
          </cell>
          <cell r="G346">
            <v>40035</v>
          </cell>
          <cell r="H346">
            <v>1544</v>
          </cell>
          <cell r="I346">
            <v>40035</v>
          </cell>
          <cell r="J346">
            <v>369</v>
          </cell>
          <cell r="K346">
            <v>40039</v>
          </cell>
          <cell r="L346">
            <v>8238.08</v>
          </cell>
        </row>
        <row r="347">
          <cell r="A347" t="str">
            <v>Hay Stuck</v>
          </cell>
          <cell r="C347" t="str">
            <v>032</v>
          </cell>
          <cell r="D347" t="str">
            <v>098</v>
          </cell>
          <cell r="E347">
            <v>39941</v>
          </cell>
          <cell r="F347">
            <v>40050</v>
          </cell>
          <cell r="G347">
            <v>40035</v>
          </cell>
          <cell r="H347">
            <v>1541</v>
          </cell>
          <cell r="I347">
            <v>40035</v>
          </cell>
          <cell r="J347">
            <v>366</v>
          </cell>
          <cell r="K347">
            <v>40043</v>
          </cell>
          <cell r="L347">
            <v>5351.79</v>
          </cell>
        </row>
        <row r="348">
          <cell r="A348" t="str">
            <v>Jas Vegetable</v>
          </cell>
          <cell r="C348">
            <v>306</v>
          </cell>
          <cell r="D348" t="str">
            <v>various si</v>
          </cell>
          <cell r="E348">
            <v>40035</v>
          </cell>
          <cell r="F348">
            <v>40049</v>
          </cell>
          <cell r="G348">
            <v>40035</v>
          </cell>
          <cell r="H348">
            <v>1456</v>
          </cell>
          <cell r="I348">
            <v>40035</v>
          </cell>
          <cell r="J348">
            <v>371</v>
          </cell>
          <cell r="K348">
            <v>40044</v>
          </cell>
          <cell r="L348">
            <v>24546</v>
          </cell>
        </row>
        <row r="349">
          <cell r="A349" t="str">
            <v>Alona Fenandez</v>
          </cell>
          <cell r="F349">
            <v>40051</v>
          </cell>
          <cell r="H349">
            <v>1461</v>
          </cell>
          <cell r="I349">
            <v>39996</v>
          </cell>
          <cell r="J349">
            <v>292</v>
          </cell>
          <cell r="K349">
            <v>40043</v>
          </cell>
          <cell r="L349">
            <v>4012.71</v>
          </cell>
        </row>
        <row r="350">
          <cell r="A350" t="str">
            <v>Manila HJR Corp.</v>
          </cell>
          <cell r="C350">
            <v>245</v>
          </cell>
          <cell r="D350">
            <v>31729</v>
          </cell>
          <cell r="E350">
            <v>40004</v>
          </cell>
          <cell r="F350">
            <v>40051</v>
          </cell>
          <cell r="H350">
            <v>1523</v>
          </cell>
          <cell r="I350">
            <v>40025</v>
          </cell>
          <cell r="J350">
            <v>354</v>
          </cell>
          <cell r="L350">
            <v>5998.9</v>
          </cell>
        </row>
        <row r="351">
          <cell r="A351" t="str">
            <v>Silverwave Corp.</v>
          </cell>
          <cell r="C351" t="str">
            <v>52/105</v>
          </cell>
          <cell r="D351" t="str">
            <v>4123/5347</v>
          </cell>
          <cell r="F351">
            <v>40051</v>
          </cell>
          <cell r="G351">
            <v>40035</v>
          </cell>
          <cell r="H351">
            <v>1551</v>
          </cell>
          <cell r="I351">
            <v>40035</v>
          </cell>
          <cell r="J351">
            <v>376</v>
          </cell>
          <cell r="L351">
            <v>29337.599999999999</v>
          </cell>
        </row>
        <row r="352">
          <cell r="A352" t="str">
            <v>Silverwave Corp.</v>
          </cell>
          <cell r="C352">
            <v>148</v>
          </cell>
          <cell r="D352">
            <v>5426</v>
          </cell>
          <cell r="E352">
            <v>39980</v>
          </cell>
          <cell r="F352">
            <v>40051</v>
          </cell>
          <cell r="H352">
            <v>1510</v>
          </cell>
          <cell r="I352">
            <v>40025</v>
          </cell>
          <cell r="J352">
            <v>340</v>
          </cell>
          <cell r="L352">
            <v>4905.8</v>
          </cell>
        </row>
        <row r="353">
          <cell r="A353" t="str">
            <v>Triple Five</v>
          </cell>
          <cell r="C353">
            <v>341</v>
          </cell>
          <cell r="F353">
            <v>40050</v>
          </cell>
          <cell r="G353">
            <v>40050</v>
          </cell>
          <cell r="H353">
            <v>1587</v>
          </cell>
          <cell r="I353">
            <v>40045</v>
          </cell>
          <cell r="J353">
            <v>410</v>
          </cell>
          <cell r="L353">
            <v>30000</v>
          </cell>
        </row>
        <row r="354">
          <cell r="A354" t="str">
            <v>PhilHealth</v>
          </cell>
          <cell r="C354">
            <v>167</v>
          </cell>
          <cell r="F354">
            <v>40053</v>
          </cell>
          <cell r="G354">
            <v>40043</v>
          </cell>
          <cell r="H354">
            <v>1581</v>
          </cell>
          <cell r="I354">
            <v>40043</v>
          </cell>
          <cell r="J354">
            <v>404</v>
          </cell>
          <cell r="L354">
            <v>9825</v>
          </cell>
        </row>
        <row r="355">
          <cell r="A355" t="str">
            <v>PhilHealth</v>
          </cell>
          <cell r="C355">
            <v>171</v>
          </cell>
          <cell r="F355">
            <v>40053</v>
          </cell>
          <cell r="G355">
            <v>40043</v>
          </cell>
          <cell r="H355">
            <v>1582</v>
          </cell>
          <cell r="I355">
            <v>40043</v>
          </cell>
          <cell r="J355">
            <v>405</v>
          </cell>
          <cell r="L355">
            <v>9375</v>
          </cell>
        </row>
        <row r="356">
          <cell r="A356" t="str">
            <v>PhilHealth</v>
          </cell>
          <cell r="C356">
            <v>327</v>
          </cell>
          <cell r="F356">
            <v>40053</v>
          </cell>
          <cell r="G356">
            <v>40043</v>
          </cell>
          <cell r="H356">
            <v>1583</v>
          </cell>
          <cell r="I356">
            <v>40043</v>
          </cell>
          <cell r="J356">
            <v>406</v>
          </cell>
          <cell r="L356">
            <v>8475</v>
          </cell>
        </row>
        <row r="357">
          <cell r="A357" t="str">
            <v>Sofia Seafood</v>
          </cell>
          <cell r="C357">
            <v>325</v>
          </cell>
          <cell r="F357">
            <v>40051</v>
          </cell>
          <cell r="G357">
            <v>40043</v>
          </cell>
          <cell r="H357">
            <v>1568</v>
          </cell>
          <cell r="I357">
            <v>40043</v>
          </cell>
          <cell r="J357">
            <v>395</v>
          </cell>
          <cell r="L357">
            <v>13610</v>
          </cell>
        </row>
        <row r="358">
          <cell r="A358" t="str">
            <v>Jose Mari Puetas</v>
          </cell>
          <cell r="C358">
            <v>164</v>
          </cell>
          <cell r="H358">
            <v>1460</v>
          </cell>
          <cell r="I358">
            <v>39996</v>
          </cell>
          <cell r="J358">
            <v>291</v>
          </cell>
          <cell r="L358">
            <v>8649.82</v>
          </cell>
        </row>
        <row r="359">
          <cell r="A359" t="str">
            <v>Berndette Huerta</v>
          </cell>
          <cell r="F359">
            <v>40050</v>
          </cell>
          <cell r="L359">
            <v>13001</v>
          </cell>
        </row>
        <row r="360">
          <cell r="F360">
            <v>40049</v>
          </cell>
          <cell r="L360">
            <v>8055.43</v>
          </cell>
        </row>
        <row r="361">
          <cell r="F361">
            <v>40050</v>
          </cell>
          <cell r="L361">
            <v>1094.68</v>
          </cell>
        </row>
        <row r="362">
          <cell r="F362">
            <v>40051</v>
          </cell>
          <cell r="L362">
            <v>7925.65</v>
          </cell>
        </row>
        <row r="363">
          <cell r="F363">
            <v>40053</v>
          </cell>
          <cell r="L363">
            <v>12269.34</v>
          </cell>
        </row>
        <row r="364">
          <cell r="A364" t="str">
            <v>Kenjo</v>
          </cell>
          <cell r="C364">
            <v>66</v>
          </cell>
          <cell r="D364">
            <v>26664</v>
          </cell>
          <cell r="E364">
            <v>39952</v>
          </cell>
          <cell r="F364">
            <v>40057</v>
          </cell>
          <cell r="G364">
            <v>40035</v>
          </cell>
          <cell r="H364">
            <v>1552</v>
          </cell>
          <cell r="I364">
            <v>40037</v>
          </cell>
          <cell r="J364">
            <v>377</v>
          </cell>
          <cell r="K364">
            <v>40057</v>
          </cell>
          <cell r="L364">
            <v>7621.34</v>
          </cell>
        </row>
        <row r="365">
          <cell r="A365" t="str">
            <v>Triple Five</v>
          </cell>
          <cell r="C365">
            <v>343</v>
          </cell>
          <cell r="F365">
            <v>40057</v>
          </cell>
          <cell r="G365">
            <v>40052</v>
          </cell>
          <cell r="H365">
            <v>1589</v>
          </cell>
          <cell r="I365">
            <v>40052</v>
          </cell>
          <cell r="J365">
            <v>411</v>
          </cell>
          <cell r="L365">
            <v>35200</v>
          </cell>
        </row>
        <row r="367">
          <cell r="A367" t="str">
            <v>Payee</v>
          </cell>
          <cell r="C367" t="str">
            <v>RCP No.</v>
          </cell>
          <cell r="D367" t="str">
            <v>SI No.</v>
          </cell>
          <cell r="E367" t="str">
            <v>SI Date</v>
          </cell>
          <cell r="F367" t="str">
            <v>Cleared Date</v>
          </cell>
          <cell r="G367" t="str">
            <v>CV Date</v>
          </cell>
          <cell r="H367" t="str">
            <v>CV No.</v>
          </cell>
          <cell r="I367" t="str">
            <v>Check Date</v>
          </cell>
          <cell r="J367" t="str">
            <v>Check No.</v>
          </cell>
          <cell r="K367" t="str">
            <v>Released Date</v>
          </cell>
        </row>
        <row r="369">
          <cell r="A369" t="str">
            <v>Silverwave</v>
          </cell>
          <cell r="C369">
            <v>255</v>
          </cell>
          <cell r="H369">
            <v>1616</v>
          </cell>
          <cell r="I369">
            <v>40059</v>
          </cell>
          <cell r="J369">
            <v>435</v>
          </cell>
          <cell r="K369">
            <v>40061</v>
          </cell>
          <cell r="L369">
            <v>46508.45</v>
          </cell>
        </row>
        <row r="370">
          <cell r="A370" t="str">
            <v>Co.8 Corp</v>
          </cell>
          <cell r="H370">
            <v>1610</v>
          </cell>
          <cell r="I370">
            <v>40058</v>
          </cell>
          <cell r="K370">
            <v>40058</v>
          </cell>
          <cell r="L370">
            <v>150000</v>
          </cell>
        </row>
        <row r="371">
          <cell r="A371" t="str">
            <v>JC Care Pest Control</v>
          </cell>
          <cell r="H371">
            <v>1624</v>
          </cell>
          <cell r="I371">
            <v>40059</v>
          </cell>
          <cell r="K371">
            <v>40061</v>
          </cell>
          <cell r="L371">
            <v>4419.63</v>
          </cell>
        </row>
        <row r="372">
          <cell r="A372" t="str">
            <v>S&amp;L</v>
          </cell>
          <cell r="H372">
            <v>1613</v>
          </cell>
          <cell r="I372">
            <v>40059</v>
          </cell>
          <cell r="K372">
            <v>40061</v>
          </cell>
          <cell r="L372">
            <v>20888.07</v>
          </cell>
        </row>
        <row r="373">
          <cell r="A373" t="str">
            <v>S&amp;L</v>
          </cell>
          <cell r="H373">
            <v>1612</v>
          </cell>
          <cell r="I373">
            <v>40059</v>
          </cell>
          <cell r="K373">
            <v>40061</v>
          </cell>
          <cell r="L373">
            <v>42425.09</v>
          </cell>
        </row>
        <row r="374">
          <cell r="A374" t="str">
            <v>Italfood</v>
          </cell>
          <cell r="H374">
            <v>1560</v>
          </cell>
          <cell r="I374">
            <v>40058</v>
          </cell>
          <cell r="K374">
            <v>40061</v>
          </cell>
          <cell r="L374">
            <v>21036.94</v>
          </cell>
        </row>
        <row r="375">
          <cell r="A375" t="str">
            <v>Gourmet &amp; Winr Expert</v>
          </cell>
          <cell r="C375">
            <v>205</v>
          </cell>
          <cell r="G375">
            <v>40043</v>
          </cell>
          <cell r="H375">
            <v>1574</v>
          </cell>
          <cell r="I375">
            <v>40043</v>
          </cell>
          <cell r="J375">
            <v>400</v>
          </cell>
          <cell r="K375">
            <v>40061</v>
          </cell>
          <cell r="L375">
            <v>15082.54</v>
          </cell>
        </row>
        <row r="376">
          <cell r="A376" t="str">
            <v>Sommelier Selection</v>
          </cell>
          <cell r="G376">
            <v>40052</v>
          </cell>
          <cell r="H376">
            <v>1599</v>
          </cell>
          <cell r="I376">
            <v>40052</v>
          </cell>
          <cell r="J376">
            <v>421</v>
          </cell>
          <cell r="K376">
            <v>40061</v>
          </cell>
          <cell r="L376">
            <v>35794.550000000003</v>
          </cell>
        </row>
        <row r="377">
          <cell r="A377" t="str">
            <v>Q&amp;H Foods</v>
          </cell>
          <cell r="C377" t="str">
            <v>049</v>
          </cell>
          <cell r="D377">
            <v>58880</v>
          </cell>
          <cell r="E377">
            <v>39947</v>
          </cell>
          <cell r="F377">
            <v>40060</v>
          </cell>
          <cell r="H377">
            <v>1559</v>
          </cell>
          <cell r="I377">
            <v>40038</v>
          </cell>
          <cell r="J377">
            <v>385</v>
          </cell>
          <cell r="K377">
            <v>40058</v>
          </cell>
          <cell r="L377">
            <v>11159.46</v>
          </cell>
        </row>
        <row r="378">
          <cell r="A378" t="str">
            <v>Jas Vegetable</v>
          </cell>
          <cell r="C378">
            <v>328</v>
          </cell>
          <cell r="G378">
            <v>40052</v>
          </cell>
          <cell r="H378">
            <v>1591</v>
          </cell>
          <cell r="I378">
            <v>40052</v>
          </cell>
          <cell r="J378">
            <v>413</v>
          </cell>
          <cell r="K378">
            <v>40060</v>
          </cell>
          <cell r="L378">
            <v>10694.5</v>
          </cell>
        </row>
        <row r="379">
          <cell r="A379" t="str">
            <v>PVF Entepise</v>
          </cell>
          <cell r="C379">
            <v>280</v>
          </cell>
          <cell r="F379">
            <v>40060</v>
          </cell>
          <cell r="G379">
            <v>40052</v>
          </cell>
          <cell r="H379">
            <v>1600</v>
          </cell>
          <cell r="I379">
            <v>40052</v>
          </cell>
          <cell r="J379">
            <v>422</v>
          </cell>
          <cell r="K379">
            <v>40060</v>
          </cell>
          <cell r="L379">
            <v>5014.82</v>
          </cell>
        </row>
        <row r="380">
          <cell r="A380" t="str">
            <v>ECL Marketing</v>
          </cell>
          <cell r="C380">
            <v>324</v>
          </cell>
          <cell r="G380">
            <v>40043</v>
          </cell>
          <cell r="H380">
            <v>1571</v>
          </cell>
          <cell r="I380">
            <v>40043</v>
          </cell>
          <cell r="J380">
            <v>398</v>
          </cell>
          <cell r="K380">
            <v>40060</v>
          </cell>
          <cell r="L380">
            <v>1240</v>
          </cell>
        </row>
        <row r="381">
          <cell r="A381" t="str">
            <v>Co.8 Corp</v>
          </cell>
          <cell r="H381">
            <v>1609</v>
          </cell>
          <cell r="I381">
            <v>40057</v>
          </cell>
          <cell r="J381" t="str">
            <v>WD</v>
          </cell>
          <cell r="K381">
            <v>40058</v>
          </cell>
          <cell r="L381">
            <v>200000</v>
          </cell>
        </row>
        <row r="382">
          <cell r="A382" t="str">
            <v>San Miguel Brewery</v>
          </cell>
          <cell r="F382">
            <v>40059</v>
          </cell>
          <cell r="H382">
            <v>1609</v>
          </cell>
          <cell r="I382">
            <v>40057</v>
          </cell>
          <cell r="J382">
            <v>429</v>
          </cell>
          <cell r="K382">
            <v>40058</v>
          </cell>
          <cell r="L382">
            <v>9122.9</v>
          </cell>
        </row>
        <row r="383">
          <cell r="A383" t="str">
            <v>Danric Belmonte</v>
          </cell>
          <cell r="H383">
            <v>1602</v>
          </cell>
          <cell r="I383">
            <v>40050</v>
          </cell>
          <cell r="J383">
            <v>424</v>
          </cell>
          <cell r="K383">
            <v>40060</v>
          </cell>
          <cell r="L383">
            <v>5073.1499999999996</v>
          </cell>
        </row>
        <row r="384">
          <cell r="F384">
            <v>40058</v>
          </cell>
          <cell r="L384">
            <v>4323.1499999999996</v>
          </cell>
        </row>
        <row r="385">
          <cell r="F385">
            <v>40059</v>
          </cell>
          <cell r="L385">
            <v>5391.43</v>
          </cell>
        </row>
        <row r="386">
          <cell r="A386" t="str">
            <v xml:space="preserve">Consolidates Daisry </v>
          </cell>
          <cell r="G386">
            <v>40043</v>
          </cell>
          <cell r="H386">
            <v>1577</v>
          </cell>
          <cell r="I386">
            <v>40043</v>
          </cell>
          <cell r="J386">
            <v>403</v>
          </cell>
          <cell r="L386">
            <v>48155.41</v>
          </cell>
        </row>
        <row r="387">
          <cell r="A387" t="str">
            <v>Bank Charge</v>
          </cell>
          <cell r="L387">
            <v>2200</v>
          </cell>
        </row>
        <row r="388">
          <cell r="A388" t="str">
            <v>Carlo Criss Mktg.</v>
          </cell>
          <cell r="C388">
            <v>284</v>
          </cell>
          <cell r="D388">
            <v>2681</v>
          </cell>
          <cell r="E388">
            <v>40023</v>
          </cell>
          <cell r="H388">
            <v>1515</v>
          </cell>
          <cell r="I388">
            <v>40039</v>
          </cell>
          <cell r="J388">
            <v>346</v>
          </cell>
          <cell r="L388">
            <v>5640</v>
          </cell>
        </row>
        <row r="389">
          <cell r="A389" t="str">
            <v>BIR</v>
          </cell>
          <cell r="C389">
            <v>368</v>
          </cell>
          <cell r="G389">
            <v>40065</v>
          </cell>
          <cell r="H389">
            <v>1630</v>
          </cell>
          <cell r="I389">
            <v>40066</v>
          </cell>
          <cell r="J389">
            <v>448</v>
          </cell>
          <cell r="L389">
            <v>5172.7</v>
          </cell>
        </row>
        <row r="390">
          <cell r="A390" t="str">
            <v>BIR</v>
          </cell>
          <cell r="C390">
            <v>369</v>
          </cell>
          <cell r="G390">
            <v>40065</v>
          </cell>
          <cell r="H390">
            <v>1631</v>
          </cell>
          <cell r="I390">
            <v>40066</v>
          </cell>
          <cell r="J390">
            <v>449</v>
          </cell>
          <cell r="L390">
            <v>32628.52</v>
          </cell>
        </row>
        <row r="391">
          <cell r="A391" t="str">
            <v>Jas Vegetabgle Dealer</v>
          </cell>
          <cell r="G391">
            <v>40059</v>
          </cell>
          <cell r="H391">
            <v>1611</v>
          </cell>
          <cell r="I391">
            <v>40059</v>
          </cell>
          <cell r="J391">
            <v>430</v>
          </cell>
          <cell r="L391">
            <v>29225.5</v>
          </cell>
        </row>
        <row r="402">
          <cell r="A402" t="str">
            <v>Unreleased &amp; Postdated Checks</v>
          </cell>
          <cell r="L402">
            <v>551292.81999999995</v>
          </cell>
        </row>
        <row r="403">
          <cell r="A403" t="str">
            <v>Unreleased Checks</v>
          </cell>
        </row>
        <row r="404">
          <cell r="A404" t="str">
            <v>Payee</v>
          </cell>
          <cell r="C404" t="str">
            <v>RCP No.</v>
          </cell>
          <cell r="D404" t="str">
            <v>SI No.</v>
          </cell>
          <cell r="E404" t="str">
            <v>SI Date</v>
          </cell>
          <cell r="F404" t="str">
            <v>Cleared Date</v>
          </cell>
          <cell r="G404" t="str">
            <v>CV Date</v>
          </cell>
          <cell r="H404" t="str">
            <v>CV No.</v>
          </cell>
          <cell r="I404" t="str">
            <v>Check Date</v>
          </cell>
          <cell r="J404" t="str">
            <v>Check No.</v>
          </cell>
          <cell r="K404" t="str">
            <v>Released Date</v>
          </cell>
        </row>
        <row r="405">
          <cell r="A405" t="str">
            <v>Orich International</v>
          </cell>
          <cell r="C405" t="str">
            <v>046</v>
          </cell>
          <cell r="D405">
            <v>4085</v>
          </cell>
          <cell r="E405">
            <v>39933</v>
          </cell>
          <cell r="H405">
            <v>1448</v>
          </cell>
          <cell r="I405">
            <v>39996</v>
          </cell>
          <cell r="J405">
            <v>297</v>
          </cell>
          <cell r="L405">
            <v>4112.95</v>
          </cell>
        </row>
        <row r="406">
          <cell r="A406" t="str">
            <v>Mamboo Food Enterprise</v>
          </cell>
          <cell r="C406" t="str">
            <v>44/71</v>
          </cell>
          <cell r="E406" t="str">
            <v>166/152</v>
          </cell>
          <cell r="H406">
            <v>1450</v>
          </cell>
          <cell r="I406">
            <v>39996</v>
          </cell>
          <cell r="J406">
            <v>281</v>
          </cell>
          <cell r="L406">
            <v>7244.73</v>
          </cell>
        </row>
        <row r="407">
          <cell r="A407" t="str">
            <v>DPC</v>
          </cell>
          <cell r="C407" t="str">
            <v>026</v>
          </cell>
          <cell r="E407">
            <v>39934</v>
          </cell>
          <cell r="H407">
            <v>1465</v>
          </cell>
          <cell r="I407">
            <v>39996</v>
          </cell>
          <cell r="J407" t="str">
            <v>296</v>
          </cell>
          <cell r="L407">
            <v>9714.6</v>
          </cell>
        </row>
        <row r="408">
          <cell r="A408" t="str">
            <v>Cash</v>
          </cell>
          <cell r="C408">
            <v>274</v>
          </cell>
          <cell r="H408">
            <v>1499</v>
          </cell>
          <cell r="I408">
            <v>40023</v>
          </cell>
          <cell r="J408">
            <v>331</v>
          </cell>
          <cell r="L408">
            <v>4362.3500000000004</v>
          </cell>
        </row>
        <row r="409">
          <cell r="A409" t="str">
            <v>Cash</v>
          </cell>
          <cell r="C409">
            <v>285</v>
          </cell>
          <cell r="H409">
            <v>1503</v>
          </cell>
          <cell r="I409">
            <v>40025</v>
          </cell>
          <cell r="J409">
            <v>333</v>
          </cell>
          <cell r="L409">
            <v>9287.66</v>
          </cell>
        </row>
        <row r="410">
          <cell r="A410" t="str">
            <v>PaperOne</v>
          </cell>
          <cell r="C410">
            <v>86</v>
          </cell>
          <cell r="D410">
            <v>17730</v>
          </cell>
          <cell r="E410">
            <v>39955</v>
          </cell>
          <cell r="H410">
            <v>1506</v>
          </cell>
          <cell r="I410">
            <v>40025</v>
          </cell>
          <cell r="J410">
            <v>336</v>
          </cell>
          <cell r="L410">
            <v>17343.75</v>
          </cell>
        </row>
        <row r="411">
          <cell r="A411" t="str">
            <v>Sile Secrets</v>
          </cell>
          <cell r="C411" t="str">
            <v>045</v>
          </cell>
          <cell r="D411">
            <v>935</v>
          </cell>
          <cell r="E411">
            <v>39947</v>
          </cell>
          <cell r="H411">
            <v>1511</v>
          </cell>
          <cell r="I411">
            <v>40025</v>
          </cell>
          <cell r="J411">
            <v>341</v>
          </cell>
          <cell r="L411">
            <v>5392.43</v>
          </cell>
        </row>
        <row r="412">
          <cell r="A412" t="str">
            <v>Orich International</v>
          </cell>
          <cell r="C412">
            <v>139</v>
          </cell>
          <cell r="D412">
            <v>4097</v>
          </cell>
          <cell r="E412">
            <v>39983</v>
          </cell>
          <cell r="H412">
            <v>1522</v>
          </cell>
          <cell r="I412">
            <v>40025</v>
          </cell>
          <cell r="J412">
            <v>353</v>
          </cell>
          <cell r="L412">
            <v>10282.370000000001</v>
          </cell>
        </row>
        <row r="413">
          <cell r="A413" t="str">
            <v>Cash</v>
          </cell>
          <cell r="H413">
            <v>1531</v>
          </cell>
          <cell r="I413">
            <v>40029</v>
          </cell>
          <cell r="J413">
            <v>360</v>
          </cell>
          <cell r="L413">
            <v>5731.92</v>
          </cell>
        </row>
        <row r="414">
          <cell r="A414" t="str">
            <v>PVF Entepise</v>
          </cell>
          <cell r="C414">
            <v>234</v>
          </cell>
          <cell r="D414">
            <v>5382</v>
          </cell>
          <cell r="E414">
            <v>40003</v>
          </cell>
          <cell r="H414">
            <v>1530</v>
          </cell>
          <cell r="I414">
            <v>40029</v>
          </cell>
          <cell r="J414">
            <v>359</v>
          </cell>
          <cell r="L414">
            <v>5014.82</v>
          </cell>
        </row>
        <row r="415">
          <cell r="A415" t="str">
            <v>PVF Entepise</v>
          </cell>
          <cell r="C415">
            <v>242</v>
          </cell>
          <cell r="D415">
            <v>5865</v>
          </cell>
          <cell r="E415">
            <v>40010</v>
          </cell>
          <cell r="H415">
            <v>1542</v>
          </cell>
          <cell r="I415">
            <v>40035</v>
          </cell>
          <cell r="J415">
            <v>367</v>
          </cell>
          <cell r="L415">
            <v>5014.82</v>
          </cell>
        </row>
        <row r="416">
          <cell r="A416" t="str">
            <v>Italfood</v>
          </cell>
          <cell r="C416" t="str">
            <v>065</v>
          </cell>
          <cell r="D416">
            <v>70844</v>
          </cell>
          <cell r="E416">
            <v>39952</v>
          </cell>
          <cell r="H416">
            <v>1560</v>
          </cell>
          <cell r="I416">
            <v>40038</v>
          </cell>
          <cell r="J416">
            <v>367</v>
          </cell>
          <cell r="L416">
            <v>11517.98</v>
          </cell>
        </row>
        <row r="417">
          <cell r="A417" t="str">
            <v>Cash</v>
          </cell>
          <cell r="C417">
            <v>342</v>
          </cell>
          <cell r="H417">
            <v>1586</v>
          </cell>
          <cell r="I417">
            <v>40045</v>
          </cell>
          <cell r="J417">
            <v>409</v>
          </cell>
          <cell r="L417">
            <v>13001</v>
          </cell>
        </row>
        <row r="418">
          <cell r="A418" t="str">
            <v>Mamboo Food Enterprise</v>
          </cell>
          <cell r="C418">
            <v>196</v>
          </cell>
          <cell r="G418">
            <v>40043</v>
          </cell>
          <cell r="H418">
            <v>1573</v>
          </cell>
          <cell r="I418">
            <v>40043</v>
          </cell>
          <cell r="J418">
            <v>399</v>
          </cell>
          <cell r="L418">
            <v>7294.28</v>
          </cell>
        </row>
        <row r="419">
          <cell r="A419" t="str">
            <v>Agathon Trading</v>
          </cell>
          <cell r="C419" t="str">
            <v>001</v>
          </cell>
          <cell r="G419">
            <v>40043</v>
          </cell>
          <cell r="H419">
            <v>1575</v>
          </cell>
          <cell r="I419">
            <v>40043</v>
          </cell>
          <cell r="J419">
            <v>401</v>
          </cell>
          <cell r="L419">
            <v>6279</v>
          </cell>
        </row>
        <row r="420">
          <cell r="A420" t="str">
            <v>ADP Industries Corp.</v>
          </cell>
          <cell r="C420">
            <v>184</v>
          </cell>
          <cell r="G420">
            <v>40043</v>
          </cell>
          <cell r="H420">
            <v>1576</v>
          </cell>
          <cell r="I420">
            <v>40043</v>
          </cell>
          <cell r="J420">
            <v>402</v>
          </cell>
          <cell r="K420" t="str">
            <v>√</v>
          </cell>
          <cell r="L420">
            <v>12553.85</v>
          </cell>
        </row>
        <row r="421">
          <cell r="A421" t="str">
            <v>ZM Gifts / Accessories</v>
          </cell>
          <cell r="C421">
            <v>346</v>
          </cell>
          <cell r="G421">
            <v>40052</v>
          </cell>
          <cell r="H421">
            <v>1606</v>
          </cell>
          <cell r="I421">
            <v>40052</v>
          </cell>
          <cell r="J421">
            <v>427</v>
          </cell>
          <cell r="K421" t="str">
            <v>√</v>
          </cell>
          <cell r="L421">
            <v>11250</v>
          </cell>
        </row>
        <row r="422">
          <cell r="A422" t="str">
            <v>Bernadette Huerta</v>
          </cell>
          <cell r="C422">
            <v>345</v>
          </cell>
          <cell r="G422">
            <v>40052</v>
          </cell>
          <cell r="H422">
            <v>1605</v>
          </cell>
          <cell r="I422">
            <v>40052</v>
          </cell>
          <cell r="J422">
            <v>426</v>
          </cell>
          <cell r="L422">
            <v>8628.14</v>
          </cell>
        </row>
        <row r="423">
          <cell r="A423" t="str">
            <v>Euro Pro</v>
          </cell>
          <cell r="C423" t="str">
            <v>242-9</v>
          </cell>
          <cell r="G423">
            <v>40052</v>
          </cell>
          <cell r="H423">
            <v>1601</v>
          </cell>
          <cell r="I423">
            <v>40052</v>
          </cell>
          <cell r="J423">
            <v>423</v>
          </cell>
          <cell r="K423" t="str">
            <v>√</v>
          </cell>
          <cell r="L423">
            <v>3750</v>
          </cell>
        </row>
        <row r="424">
          <cell r="A424" t="str">
            <v>PVF Entepise</v>
          </cell>
          <cell r="C424">
            <v>280</v>
          </cell>
          <cell r="G424">
            <v>40052</v>
          </cell>
          <cell r="H424">
            <v>1600</v>
          </cell>
          <cell r="I424">
            <v>40052</v>
          </cell>
          <cell r="J424">
            <v>422</v>
          </cell>
          <cell r="L424">
            <v>5014.82</v>
          </cell>
        </row>
        <row r="425">
          <cell r="A425" t="str">
            <v>Edisy Trading Corp.</v>
          </cell>
          <cell r="G425">
            <v>40052</v>
          </cell>
          <cell r="H425">
            <v>1598</v>
          </cell>
          <cell r="I425">
            <v>40052</v>
          </cell>
          <cell r="J425">
            <v>420</v>
          </cell>
          <cell r="K425" t="str">
            <v>√</v>
          </cell>
          <cell r="L425">
            <v>6300</v>
          </cell>
        </row>
        <row r="426">
          <cell r="A426" t="str">
            <v>PowerLock Industrial Supply</v>
          </cell>
          <cell r="C426">
            <v>241</v>
          </cell>
          <cell r="G426">
            <v>40052</v>
          </cell>
          <cell r="H426">
            <v>1597</v>
          </cell>
          <cell r="I426">
            <v>40052</v>
          </cell>
          <cell r="J426">
            <v>428</v>
          </cell>
          <cell r="K426" t="str">
            <v>√</v>
          </cell>
          <cell r="L426">
            <v>6780</v>
          </cell>
        </row>
        <row r="427">
          <cell r="A427" t="str">
            <v>AS Alvar</v>
          </cell>
          <cell r="C427">
            <v>195</v>
          </cell>
          <cell r="G427">
            <v>40052</v>
          </cell>
          <cell r="H427">
            <v>1596</v>
          </cell>
          <cell r="I427">
            <v>40052</v>
          </cell>
          <cell r="J427">
            <v>418</v>
          </cell>
          <cell r="K427" t="str">
            <v>√</v>
          </cell>
          <cell r="L427">
            <v>1734.37</v>
          </cell>
        </row>
        <row r="428">
          <cell r="A428" t="str">
            <v>Booye Online</v>
          </cell>
          <cell r="C428">
            <v>138</v>
          </cell>
          <cell r="G428">
            <v>40052</v>
          </cell>
          <cell r="H428">
            <v>1595</v>
          </cell>
          <cell r="I428">
            <v>40052</v>
          </cell>
          <cell r="J428">
            <v>417</v>
          </cell>
          <cell r="K428" t="str">
            <v>√</v>
          </cell>
          <cell r="L428">
            <v>10089.11</v>
          </cell>
        </row>
        <row r="429">
          <cell r="A429" t="str">
            <v>Donau Deli</v>
          </cell>
          <cell r="C429">
            <v>308</v>
          </cell>
          <cell r="G429">
            <v>40052</v>
          </cell>
          <cell r="H429">
            <v>1594</v>
          </cell>
          <cell r="I429">
            <v>40052</v>
          </cell>
          <cell r="J429">
            <v>416</v>
          </cell>
          <cell r="K429" t="str">
            <v>√</v>
          </cell>
          <cell r="L429">
            <v>15858.4</v>
          </cell>
        </row>
        <row r="430">
          <cell r="A430" t="str">
            <v>Coca Cola Bottlers</v>
          </cell>
          <cell r="C430">
            <v>308</v>
          </cell>
          <cell r="G430">
            <v>40052</v>
          </cell>
          <cell r="H430">
            <v>1593</v>
          </cell>
          <cell r="I430">
            <v>40052</v>
          </cell>
          <cell r="J430">
            <v>415</v>
          </cell>
          <cell r="K430" t="str">
            <v>√</v>
          </cell>
          <cell r="L430">
            <v>10678.8</v>
          </cell>
        </row>
        <row r="431">
          <cell r="A431" t="str">
            <v>Reyes Fajardo</v>
          </cell>
          <cell r="C431">
            <v>227</v>
          </cell>
          <cell r="G431">
            <v>40052</v>
          </cell>
          <cell r="H431">
            <v>1592</v>
          </cell>
          <cell r="I431">
            <v>40052</v>
          </cell>
          <cell r="J431">
            <v>414</v>
          </cell>
          <cell r="L431">
            <v>15000</v>
          </cell>
        </row>
        <row r="432">
          <cell r="A432" t="str">
            <v>Pfescorp.</v>
          </cell>
          <cell r="C432">
            <v>330</v>
          </cell>
          <cell r="G432">
            <v>40052</v>
          </cell>
          <cell r="H432">
            <v>1590</v>
          </cell>
          <cell r="I432">
            <v>40052</v>
          </cell>
          <cell r="J432">
            <v>412</v>
          </cell>
          <cell r="K432" t="str">
            <v>√</v>
          </cell>
          <cell r="L432">
            <v>14627.84</v>
          </cell>
        </row>
        <row r="449">
          <cell r="A449" t="str">
            <v>Unrecorded Disbursement (Cleared Pe Bank Statement)</v>
          </cell>
        </row>
        <row r="450">
          <cell r="F450">
            <v>39993</v>
          </cell>
          <cell r="L450">
            <v>6423.75</v>
          </cell>
        </row>
        <row r="451">
          <cell r="F451">
            <v>39997</v>
          </cell>
          <cell r="L451">
            <v>15442.02</v>
          </cell>
        </row>
        <row r="452">
          <cell r="F452">
            <v>40017</v>
          </cell>
          <cell r="L452">
            <v>78438.289999999994</v>
          </cell>
        </row>
        <row r="453">
          <cell r="F453">
            <v>40024</v>
          </cell>
          <cell r="L453">
            <v>35200</v>
          </cell>
        </row>
        <row r="454">
          <cell r="F454">
            <v>40024</v>
          </cell>
          <cell r="L454">
            <v>171928.77</v>
          </cell>
        </row>
        <row r="466">
          <cell r="A466" t="str">
            <v>Postdated Checks</v>
          </cell>
          <cell r="L466">
            <v>0</v>
          </cell>
        </row>
        <row r="467">
          <cell r="A467" t="str">
            <v>Payee</v>
          </cell>
          <cell r="J467" t="str">
            <v>Particulars</v>
          </cell>
        </row>
        <row r="475">
          <cell r="A475" t="str">
            <v>FUND BALANCE</v>
          </cell>
          <cell r="L475">
            <v>-8938503.7097891215</v>
          </cell>
        </row>
        <row r="477">
          <cell r="A477" t="str">
            <v>ALLOTTED PAYABLES</v>
          </cell>
          <cell r="C477" t="str">
            <v>RCP No.</v>
          </cell>
          <cell r="D477" t="str">
            <v>SI NO.</v>
          </cell>
          <cell r="E477" t="str">
            <v>SI Date</v>
          </cell>
          <cell r="F477" t="str">
            <v>Cleared Date</v>
          </cell>
          <cell r="G477" t="str">
            <v>CV Date</v>
          </cell>
          <cell r="H477" t="str">
            <v>CV No.</v>
          </cell>
          <cell r="I477" t="str">
            <v>Check Date</v>
          </cell>
          <cell r="J477" t="str">
            <v>Check No.</v>
          </cell>
          <cell r="K477" t="str">
            <v>Alloted Date</v>
          </cell>
          <cell r="L477">
            <v>1583987.3109999995</v>
          </cell>
        </row>
        <row r="478">
          <cell r="A478" t="str">
            <v>Agathon Trading</v>
          </cell>
          <cell r="C478" t="str">
            <v>001</v>
          </cell>
          <cell r="D478">
            <v>48727</v>
          </cell>
          <cell r="E478">
            <v>39948</v>
          </cell>
          <cell r="L478">
            <v>6279</v>
          </cell>
        </row>
        <row r="479">
          <cell r="A479" t="str">
            <v>Consolidated Diary</v>
          </cell>
          <cell r="C479" t="str">
            <v>008</v>
          </cell>
          <cell r="D479">
            <v>387330</v>
          </cell>
          <cell r="E479">
            <v>39939</v>
          </cell>
          <cell r="L479">
            <v>6980</v>
          </cell>
        </row>
        <row r="480">
          <cell r="A480" t="str">
            <v>Jelly Martens(DePhiCo)</v>
          </cell>
          <cell r="C480" t="str">
            <v>015</v>
          </cell>
          <cell r="E480">
            <v>39743</v>
          </cell>
          <cell r="L480">
            <v>23688</v>
          </cell>
        </row>
        <row r="481">
          <cell r="A481" t="str">
            <v>Jelly Martens(DePhiCo)</v>
          </cell>
          <cell r="C481" t="str">
            <v>016</v>
          </cell>
          <cell r="E481">
            <v>39797</v>
          </cell>
          <cell r="L481">
            <v>30871</v>
          </cell>
        </row>
        <row r="482">
          <cell r="A482" t="str">
            <v>Jelly Martens(DePhiCo)</v>
          </cell>
          <cell r="C482" t="str">
            <v>017</v>
          </cell>
          <cell r="E482">
            <v>39765</v>
          </cell>
          <cell r="L482">
            <v>25106</v>
          </cell>
        </row>
        <row r="483">
          <cell r="A483" t="str">
            <v>Jelly Martens(DePhiCo)</v>
          </cell>
          <cell r="C483" t="str">
            <v>018</v>
          </cell>
          <cell r="E483">
            <v>39801</v>
          </cell>
          <cell r="L483">
            <v>28130</v>
          </cell>
        </row>
        <row r="484">
          <cell r="A484" t="str">
            <v>Jelly Martens(DePhiCo)</v>
          </cell>
          <cell r="C484" t="str">
            <v>019</v>
          </cell>
          <cell r="E484">
            <v>39740</v>
          </cell>
          <cell r="L484">
            <v>58060</v>
          </cell>
        </row>
        <row r="485">
          <cell r="A485" t="str">
            <v>Jelly Martens(DePhiCo)</v>
          </cell>
          <cell r="C485" t="str">
            <v>020</v>
          </cell>
          <cell r="E485">
            <v>39732</v>
          </cell>
          <cell r="L485">
            <v>876</v>
          </cell>
        </row>
        <row r="486">
          <cell r="A486" t="str">
            <v>Jelly Martens(DePhiCo)</v>
          </cell>
          <cell r="C486" t="str">
            <v>021</v>
          </cell>
          <cell r="E486">
            <v>39741</v>
          </cell>
          <cell r="L486">
            <v>1124</v>
          </cell>
        </row>
        <row r="487">
          <cell r="A487" t="str">
            <v>Jelly Martens(DePhiCo)</v>
          </cell>
          <cell r="C487" t="str">
            <v>022</v>
          </cell>
          <cell r="E487">
            <v>39751</v>
          </cell>
          <cell r="L487">
            <v>876</v>
          </cell>
        </row>
        <row r="488">
          <cell r="A488" t="str">
            <v>Jelly Martens(DePhiCo)</v>
          </cell>
          <cell r="C488" t="str">
            <v>023</v>
          </cell>
          <cell r="E488">
            <v>39784</v>
          </cell>
          <cell r="L488">
            <v>1580</v>
          </cell>
        </row>
        <row r="489">
          <cell r="A489" t="str">
            <v>Jelly Martens(DePhiCo)</v>
          </cell>
          <cell r="C489" t="str">
            <v>024</v>
          </cell>
          <cell r="E489">
            <v>39704</v>
          </cell>
          <cell r="L489">
            <v>7008</v>
          </cell>
        </row>
        <row r="490">
          <cell r="A490" t="str">
            <v>Donua Deli</v>
          </cell>
          <cell r="C490" t="str">
            <v>025</v>
          </cell>
          <cell r="D490">
            <v>5468</v>
          </cell>
          <cell r="E490">
            <v>39940</v>
          </cell>
          <cell r="L490">
            <v>18079.43</v>
          </cell>
        </row>
        <row r="491">
          <cell r="A491" t="str">
            <v>ESV International</v>
          </cell>
          <cell r="C491" t="str">
            <v>028</v>
          </cell>
          <cell r="D491">
            <v>25121</v>
          </cell>
          <cell r="E491">
            <v>39701</v>
          </cell>
          <cell r="L491">
            <v>1170</v>
          </cell>
        </row>
        <row r="492">
          <cell r="A492" t="str">
            <v>Gina M.Dejoras</v>
          </cell>
          <cell r="C492" t="str">
            <v>029</v>
          </cell>
          <cell r="D492">
            <v>310</v>
          </cell>
          <cell r="E492">
            <v>39917</v>
          </cell>
          <cell r="L492">
            <v>1800</v>
          </cell>
        </row>
        <row r="493">
          <cell r="A493" t="str">
            <v>Italfood Distribution Inc.</v>
          </cell>
          <cell r="C493" t="str">
            <v>033</v>
          </cell>
          <cell r="D493">
            <v>70082</v>
          </cell>
          <cell r="E493">
            <v>39931</v>
          </cell>
          <cell r="L493">
            <v>21161.19</v>
          </cell>
        </row>
        <row r="494">
          <cell r="A494" t="str">
            <v>Silver Secrets</v>
          </cell>
          <cell r="C494" t="str">
            <v>045</v>
          </cell>
          <cell r="D494">
            <v>9395</v>
          </cell>
          <cell r="E494">
            <v>39947</v>
          </cell>
          <cell r="L494">
            <v>5440</v>
          </cell>
        </row>
        <row r="495">
          <cell r="A495" t="str">
            <v>Skycable</v>
          </cell>
          <cell r="C495" t="str">
            <v>050 cancelled</v>
          </cell>
          <cell r="E495">
            <v>39947</v>
          </cell>
          <cell r="L495">
            <v>1999</v>
          </cell>
        </row>
        <row r="496">
          <cell r="A496" t="str">
            <v>Silverwave Corp.</v>
          </cell>
          <cell r="C496" t="str">
            <v>052</v>
          </cell>
          <cell r="D496">
            <v>5123</v>
          </cell>
          <cell r="E496">
            <v>39939</v>
          </cell>
          <cell r="K496">
            <v>39994</v>
          </cell>
          <cell r="L496">
            <v>9460.77</v>
          </cell>
        </row>
        <row r="497">
          <cell r="A497" t="str">
            <v>SSS</v>
          </cell>
          <cell r="C497" t="str">
            <v>059</v>
          </cell>
          <cell r="D497">
            <v>52706</v>
          </cell>
          <cell r="E497">
            <v>39925</v>
          </cell>
        </row>
        <row r="498">
          <cell r="A498" t="str">
            <v>Philhealth</v>
          </cell>
          <cell r="C498" t="str">
            <v>060</v>
          </cell>
          <cell r="L498">
            <v>9825</v>
          </cell>
        </row>
        <row r="499">
          <cell r="A499" t="str">
            <v>HDMF</v>
          </cell>
          <cell r="C499" t="str">
            <v>061</v>
          </cell>
          <cell r="L499">
            <v>7400</v>
          </cell>
        </row>
        <row r="500">
          <cell r="A500" t="str">
            <v>SSS</v>
          </cell>
          <cell r="C500" t="str">
            <v>062</v>
          </cell>
          <cell r="L500">
            <v>3150.02</v>
          </cell>
        </row>
        <row r="501">
          <cell r="A501" t="str">
            <v>Gepty &amp; Jose law office</v>
          </cell>
          <cell r="C501" t="str">
            <v>063</v>
          </cell>
          <cell r="L501">
            <v>21500</v>
          </cell>
        </row>
        <row r="502">
          <cell r="A502" t="str">
            <v>Italfood Distribution Inc.</v>
          </cell>
          <cell r="C502" t="str">
            <v>065</v>
          </cell>
          <cell r="D502">
            <v>70844</v>
          </cell>
          <cell r="E502">
            <v>39952</v>
          </cell>
          <cell r="L502">
            <v>12784.96</v>
          </cell>
        </row>
        <row r="503">
          <cell r="A503" t="str">
            <v>Kenjo Office Supplies</v>
          </cell>
          <cell r="C503" t="str">
            <v>065</v>
          </cell>
          <cell r="D503">
            <v>70844</v>
          </cell>
          <cell r="E503">
            <v>39952</v>
          </cell>
          <cell r="L503">
            <v>7690</v>
          </cell>
        </row>
        <row r="504">
          <cell r="A504" t="str">
            <v>Kenjo Office Supplies</v>
          </cell>
          <cell r="C504" t="str">
            <v>066</v>
          </cell>
          <cell r="D504">
            <v>26664</v>
          </cell>
          <cell r="E504">
            <v>39952</v>
          </cell>
          <cell r="L504">
            <v>7621.34</v>
          </cell>
        </row>
        <row r="505">
          <cell r="A505" t="str">
            <v>Kenjo Office Supplies</v>
          </cell>
          <cell r="C505" t="str">
            <v>`067</v>
          </cell>
          <cell r="D505">
            <v>26679</v>
          </cell>
          <cell r="E505">
            <v>39953</v>
          </cell>
          <cell r="L505">
            <v>3415.23</v>
          </cell>
        </row>
        <row r="506">
          <cell r="A506" t="str">
            <v>Sign Parameter</v>
          </cell>
          <cell r="C506" t="str">
            <v>068</v>
          </cell>
          <cell r="L506">
            <v>16850</v>
          </cell>
        </row>
        <row r="507">
          <cell r="A507" t="str">
            <v>Booze Online</v>
          </cell>
          <cell r="C507" t="str">
            <v>081</v>
          </cell>
          <cell r="D507">
            <v>5315</v>
          </cell>
          <cell r="E507">
            <v>39955</v>
          </cell>
          <cell r="K507">
            <v>39994</v>
          </cell>
          <cell r="L507">
            <v>6422.14</v>
          </cell>
        </row>
        <row r="508">
          <cell r="A508" t="str">
            <v>Jelly Martens(DePhiCo)</v>
          </cell>
          <cell r="C508" t="str">
            <v>083</v>
          </cell>
          <cell r="E508">
            <v>39723</v>
          </cell>
          <cell r="L508">
            <v>8042</v>
          </cell>
        </row>
        <row r="509">
          <cell r="A509" t="str">
            <v>Jelly Martens(DePhiCo)</v>
          </cell>
          <cell r="C509" t="str">
            <v>085</v>
          </cell>
          <cell r="E509">
            <v>39956</v>
          </cell>
          <cell r="L509">
            <v>39390.269999999997</v>
          </cell>
        </row>
        <row r="510">
          <cell r="A510" t="str">
            <v>Consolidated Dairy and Frozen Food Corp.</v>
          </cell>
          <cell r="C510" t="str">
            <v>096</v>
          </cell>
          <cell r="D510">
            <v>388428</v>
          </cell>
          <cell r="E510">
            <v>39949</v>
          </cell>
          <cell r="K510">
            <v>39994</v>
          </cell>
          <cell r="L510">
            <v>10418.719999999999</v>
          </cell>
        </row>
        <row r="511">
          <cell r="A511" t="str">
            <v>Boquet De Bonbon</v>
          </cell>
          <cell r="E511">
            <v>39959</v>
          </cell>
          <cell r="L511">
            <v>12820</v>
          </cell>
        </row>
        <row r="512">
          <cell r="A512" t="str">
            <v>The French Baker</v>
          </cell>
          <cell r="E512">
            <v>39953</v>
          </cell>
          <cell r="L512">
            <v>5865.9</v>
          </cell>
        </row>
        <row r="513">
          <cell r="A513" t="str">
            <v>Estrima</v>
          </cell>
          <cell r="C513" t="str">
            <v>096-1</v>
          </cell>
          <cell r="D513">
            <v>4626</v>
          </cell>
          <cell r="E513">
            <v>39764</v>
          </cell>
          <cell r="L513">
            <v>1980</v>
          </cell>
        </row>
        <row r="514">
          <cell r="A514" t="str">
            <v>Robinsons Supermarket</v>
          </cell>
          <cell r="L514">
            <v>1384.97</v>
          </cell>
        </row>
        <row r="515">
          <cell r="A515" t="str">
            <v>Donau Deli</v>
          </cell>
          <cell r="D515">
            <v>5418</v>
          </cell>
          <cell r="E515">
            <v>39904</v>
          </cell>
          <cell r="L515">
            <v>16001.27</v>
          </cell>
        </row>
        <row r="516">
          <cell r="A516" t="str">
            <v>Consolidated Dairy and Frozen Food Corp.</v>
          </cell>
          <cell r="C516">
            <v>107</v>
          </cell>
          <cell r="D516">
            <v>390177</v>
          </cell>
          <cell r="E516">
            <v>39967</v>
          </cell>
          <cell r="L516">
            <v>4692.09</v>
          </cell>
        </row>
        <row r="517">
          <cell r="A517" t="str">
            <v>Silverwave Corp.</v>
          </cell>
          <cell r="C517">
            <v>105</v>
          </cell>
          <cell r="D517">
            <v>5347</v>
          </cell>
          <cell r="E517">
            <v>39968</v>
          </cell>
          <cell r="L517">
            <v>6542.81</v>
          </cell>
        </row>
        <row r="518">
          <cell r="A518" t="str">
            <v>Silverwave Corp.</v>
          </cell>
          <cell r="C518">
            <v>106</v>
          </cell>
          <cell r="D518">
            <v>5354</v>
          </cell>
          <cell r="E518">
            <v>39968</v>
          </cell>
          <cell r="L518">
            <v>3539.36</v>
          </cell>
        </row>
        <row r="519">
          <cell r="A519" t="str">
            <v>Robinsons Supermarket</v>
          </cell>
          <cell r="C519" t="str">
            <v>094</v>
          </cell>
          <cell r="E519">
            <v>39929</v>
          </cell>
          <cell r="L519">
            <v>1410.15</v>
          </cell>
        </row>
        <row r="520">
          <cell r="A520" t="str">
            <v>Italfood Distribution Inc.</v>
          </cell>
          <cell r="C520" t="str">
            <v>098</v>
          </cell>
          <cell r="D520">
            <v>70144</v>
          </cell>
          <cell r="E520">
            <v>39933</v>
          </cell>
          <cell r="K520">
            <v>39994</v>
          </cell>
          <cell r="L520">
            <v>16994.23</v>
          </cell>
        </row>
        <row r="521">
          <cell r="A521" t="str">
            <v>French Baker</v>
          </cell>
          <cell r="C521" t="str">
            <v>095</v>
          </cell>
          <cell r="L521">
            <v>5865.9</v>
          </cell>
        </row>
        <row r="522">
          <cell r="A522" t="str">
            <v>King Richard</v>
          </cell>
          <cell r="C522">
            <v>101</v>
          </cell>
          <cell r="D522">
            <v>44774478</v>
          </cell>
          <cell r="E522">
            <v>39961</v>
          </cell>
          <cell r="L522">
            <v>3373.66</v>
          </cell>
        </row>
        <row r="523">
          <cell r="A523" t="str">
            <v>Detpak</v>
          </cell>
          <cell r="L523">
            <v>15000</v>
          </cell>
        </row>
        <row r="524">
          <cell r="A524" t="str">
            <v>Leysam</v>
          </cell>
          <cell r="D524">
            <v>28016</v>
          </cell>
          <cell r="E524">
            <v>39878</v>
          </cell>
          <cell r="L524">
            <v>56769.42</v>
          </cell>
        </row>
        <row r="525">
          <cell r="A525" t="str">
            <v>Leysam</v>
          </cell>
          <cell r="D525" t="str">
            <v>DR 76852</v>
          </cell>
          <cell r="E525">
            <v>39898</v>
          </cell>
          <cell r="L525">
            <v>96256.4</v>
          </cell>
        </row>
        <row r="526">
          <cell r="A526" t="str">
            <v>Lorillas</v>
          </cell>
          <cell r="D526">
            <v>6326</v>
          </cell>
          <cell r="E526">
            <v>39645</v>
          </cell>
          <cell r="L526">
            <v>21000</v>
          </cell>
        </row>
        <row r="527">
          <cell r="A527" t="str">
            <v>S&amp;L Fine Foods</v>
          </cell>
          <cell r="D527">
            <v>39918</v>
          </cell>
          <cell r="E527">
            <v>39918</v>
          </cell>
          <cell r="L527">
            <v>8985</v>
          </cell>
        </row>
        <row r="528">
          <cell r="A528" t="str">
            <v>S&amp;L Fine Foods</v>
          </cell>
          <cell r="D528">
            <v>39920</v>
          </cell>
          <cell r="E528">
            <v>39920</v>
          </cell>
          <cell r="L528">
            <v>26411.8</v>
          </cell>
        </row>
        <row r="529">
          <cell r="A529" t="str">
            <v>CTDI</v>
          </cell>
          <cell r="D529">
            <v>53025</v>
          </cell>
          <cell r="E529" t="str">
            <v>08.02.08</v>
          </cell>
          <cell r="L529">
            <v>25670</v>
          </cell>
        </row>
        <row r="530">
          <cell r="A530" t="str">
            <v>CTDI</v>
          </cell>
          <cell r="D530">
            <v>53072</v>
          </cell>
          <cell r="E530" t="str">
            <v>09.01.08</v>
          </cell>
          <cell r="L530">
            <v>24606.5</v>
          </cell>
        </row>
        <row r="531">
          <cell r="A531" t="str">
            <v>CTDI</v>
          </cell>
          <cell r="D531">
            <v>53117</v>
          </cell>
          <cell r="E531" t="str">
            <v>10.03.08</v>
          </cell>
          <cell r="L531">
            <v>11200</v>
          </cell>
        </row>
        <row r="532">
          <cell r="A532" t="str">
            <v>CTDI</v>
          </cell>
          <cell r="D532">
            <v>53218</v>
          </cell>
          <cell r="E532" t="str">
            <v>12.15.08</v>
          </cell>
          <cell r="L532">
            <v>23962</v>
          </cell>
        </row>
        <row r="533">
          <cell r="A533" t="str">
            <v>CTDI</v>
          </cell>
          <cell r="D533">
            <v>53221</v>
          </cell>
          <cell r="E533" t="str">
            <v>12.15.08</v>
          </cell>
          <cell r="L533">
            <v>11200</v>
          </cell>
        </row>
        <row r="534">
          <cell r="A534" t="str">
            <v>CTDI</v>
          </cell>
          <cell r="D534">
            <v>53222</v>
          </cell>
          <cell r="E534" t="str">
            <v>12.15.08</v>
          </cell>
          <cell r="L534">
            <v>11200</v>
          </cell>
        </row>
        <row r="535">
          <cell r="A535" t="str">
            <v>CTDI</v>
          </cell>
          <cell r="D535">
            <v>53219</v>
          </cell>
          <cell r="E535" t="str">
            <v>12.15.08</v>
          </cell>
          <cell r="L535">
            <v>23937</v>
          </cell>
        </row>
        <row r="536">
          <cell r="A536" t="str">
            <v>CTDI</v>
          </cell>
          <cell r="D536">
            <v>53324</v>
          </cell>
          <cell r="E536" t="str">
            <v>02.03.09</v>
          </cell>
          <cell r="L536">
            <v>23004</v>
          </cell>
        </row>
        <row r="537">
          <cell r="A537" t="str">
            <v>CTDI</v>
          </cell>
          <cell r="D537">
            <v>53325</v>
          </cell>
          <cell r="E537" t="str">
            <v>02.03.09</v>
          </cell>
          <cell r="L537">
            <v>11200</v>
          </cell>
        </row>
        <row r="538">
          <cell r="A538" t="str">
            <v>CTDI</v>
          </cell>
          <cell r="D538">
            <v>53371</v>
          </cell>
          <cell r="E538" t="str">
            <v>03.04.09</v>
          </cell>
          <cell r="L538">
            <v>11200</v>
          </cell>
        </row>
        <row r="539">
          <cell r="A539" t="str">
            <v>Dras Refrigeration</v>
          </cell>
          <cell r="E539">
            <v>39783</v>
          </cell>
          <cell r="L539">
            <v>1120</v>
          </cell>
        </row>
        <row r="540">
          <cell r="A540" t="str">
            <v>Dras Refrigeration</v>
          </cell>
          <cell r="E540">
            <v>39849</v>
          </cell>
          <cell r="L540">
            <v>1736.99</v>
          </cell>
        </row>
        <row r="541">
          <cell r="A541" t="str">
            <v>Dras Refrigeration</v>
          </cell>
          <cell r="D541">
            <v>2109</v>
          </cell>
          <cell r="E541">
            <v>39889</v>
          </cell>
          <cell r="L541">
            <v>5884.93</v>
          </cell>
        </row>
        <row r="542">
          <cell r="A542" t="str">
            <v>Dras Refrigeration</v>
          </cell>
          <cell r="D542">
            <v>2027</v>
          </cell>
          <cell r="E542">
            <v>39881</v>
          </cell>
          <cell r="L542">
            <v>2912</v>
          </cell>
        </row>
        <row r="543">
          <cell r="A543" t="str">
            <v>Dras Refrigeration</v>
          </cell>
          <cell r="D543">
            <v>2026</v>
          </cell>
          <cell r="E543">
            <v>39881</v>
          </cell>
          <cell r="L543">
            <v>2240</v>
          </cell>
        </row>
        <row r="544">
          <cell r="A544" t="str">
            <v>French Baker</v>
          </cell>
          <cell r="L544">
            <v>8025.8</v>
          </cell>
        </row>
        <row r="545">
          <cell r="A545" t="str">
            <v>JC Care</v>
          </cell>
          <cell r="C545">
            <v>118</v>
          </cell>
          <cell r="D545">
            <v>467</v>
          </cell>
          <cell r="E545">
            <v>39964</v>
          </cell>
          <cell r="L545">
            <v>1473.21</v>
          </cell>
        </row>
        <row r="546">
          <cell r="A546" t="str">
            <v>Consolidated Dairy</v>
          </cell>
          <cell r="C546">
            <v>107</v>
          </cell>
          <cell r="D546">
            <v>390848</v>
          </cell>
          <cell r="E546">
            <v>39975</v>
          </cell>
          <cell r="L546">
            <v>4734.3599999999997</v>
          </cell>
        </row>
        <row r="547">
          <cell r="A547" t="str">
            <v>JC Care</v>
          </cell>
          <cell r="C547">
            <v>119</v>
          </cell>
          <cell r="D547">
            <v>473</v>
          </cell>
          <cell r="E547">
            <v>39971</v>
          </cell>
          <cell r="L547">
            <v>1473.21</v>
          </cell>
        </row>
        <row r="548">
          <cell r="A548" t="str">
            <v>Skycable</v>
          </cell>
          <cell r="C548">
            <v>131</v>
          </cell>
          <cell r="L548">
            <v>1865.73</v>
          </cell>
        </row>
        <row r="549">
          <cell r="A549" t="str">
            <v>Hay Struck Inc.</v>
          </cell>
          <cell r="C549">
            <v>116</v>
          </cell>
          <cell r="D549" t="str">
            <v>`017</v>
          </cell>
          <cell r="E549">
            <v>39975</v>
          </cell>
          <cell r="L549">
            <v>4320</v>
          </cell>
        </row>
        <row r="550">
          <cell r="A550" t="str">
            <v>ESV International</v>
          </cell>
          <cell r="C550">
            <v>117</v>
          </cell>
          <cell r="D550">
            <v>44411</v>
          </cell>
          <cell r="L550">
            <v>1629.6</v>
          </cell>
        </row>
        <row r="551">
          <cell r="A551" t="str">
            <v>JC Care</v>
          </cell>
          <cell r="C551">
            <v>120</v>
          </cell>
          <cell r="D551">
            <v>474</v>
          </cell>
          <cell r="E551">
            <v>39978</v>
          </cell>
          <cell r="L551">
            <v>1473.21</v>
          </cell>
        </row>
        <row r="552">
          <cell r="A552" t="str">
            <v>S/L Fine Foods</v>
          </cell>
          <cell r="C552">
            <v>121</v>
          </cell>
          <cell r="D552">
            <v>3655</v>
          </cell>
          <cell r="E552">
            <v>39973</v>
          </cell>
          <cell r="L552">
            <v>10650.79</v>
          </cell>
        </row>
        <row r="553">
          <cell r="A553" t="str">
            <v>Italfood Distribution Inc.</v>
          </cell>
          <cell r="C553">
            <v>122</v>
          </cell>
          <cell r="D553">
            <v>71664</v>
          </cell>
          <cell r="E553">
            <v>39972</v>
          </cell>
          <cell r="L553">
            <v>13051.06</v>
          </cell>
        </row>
        <row r="554">
          <cell r="A554" t="str">
            <v>Italfood Distribution Inc.</v>
          </cell>
          <cell r="C554">
            <v>123</v>
          </cell>
          <cell r="D554">
            <v>71683</v>
          </cell>
          <cell r="E554">
            <v>39973</v>
          </cell>
          <cell r="L554">
            <v>14219.31</v>
          </cell>
        </row>
        <row r="555">
          <cell r="A555" t="str">
            <v>Italfood Distribution Inc.</v>
          </cell>
          <cell r="C555">
            <v>124</v>
          </cell>
          <cell r="D555">
            <v>71838</v>
          </cell>
          <cell r="E555">
            <v>39965</v>
          </cell>
          <cell r="L555">
            <v>951.58</v>
          </cell>
        </row>
        <row r="556">
          <cell r="A556" t="str">
            <v>Kenjo Office Supplies</v>
          </cell>
          <cell r="C556">
            <v>125</v>
          </cell>
          <cell r="D556">
            <v>26938</v>
          </cell>
          <cell r="E556">
            <v>39973</v>
          </cell>
          <cell r="L556">
            <v>1040.6300000000001</v>
          </cell>
        </row>
        <row r="557">
          <cell r="A557" t="str">
            <v xml:space="preserve">DPC </v>
          </cell>
          <cell r="C557">
            <v>130</v>
          </cell>
          <cell r="E557">
            <v>39981</v>
          </cell>
          <cell r="L557">
            <v>2419.1999999999998</v>
          </cell>
        </row>
        <row r="558">
          <cell r="A558" t="str">
            <v>Mamboo Food Enterprise</v>
          </cell>
          <cell r="C558">
            <v>132</v>
          </cell>
          <cell r="D558">
            <v>177</v>
          </cell>
          <cell r="E558">
            <v>39976</v>
          </cell>
          <cell r="L558">
            <v>5758.13</v>
          </cell>
        </row>
        <row r="559">
          <cell r="A559" t="str">
            <v>ES International</v>
          </cell>
          <cell r="C559">
            <v>133</v>
          </cell>
          <cell r="D559">
            <v>43052</v>
          </cell>
          <cell r="E559">
            <v>39975</v>
          </cell>
          <cell r="L559">
            <v>1275.1199999999999</v>
          </cell>
        </row>
        <row r="560">
          <cell r="A560" t="str">
            <v>Consolidated Dairry</v>
          </cell>
          <cell r="C560">
            <v>134</v>
          </cell>
          <cell r="D560">
            <v>390848</v>
          </cell>
          <cell r="E560">
            <v>39975</v>
          </cell>
          <cell r="L560">
            <v>4692.09</v>
          </cell>
        </row>
        <row r="561">
          <cell r="A561" t="str">
            <v>Booze Online</v>
          </cell>
          <cell r="C561">
            <v>138</v>
          </cell>
          <cell r="D561">
            <v>4739</v>
          </cell>
          <cell r="E561">
            <v>39983</v>
          </cell>
          <cell r="L561">
            <v>10089.11</v>
          </cell>
        </row>
        <row r="562">
          <cell r="A562" t="str">
            <v>Orich International</v>
          </cell>
          <cell r="C562">
            <v>139</v>
          </cell>
          <cell r="D562">
            <v>4097</v>
          </cell>
          <cell r="E562">
            <v>39983</v>
          </cell>
          <cell r="L562">
            <v>10182.370000000001</v>
          </cell>
        </row>
        <row r="563">
          <cell r="A563" t="str">
            <v>Jas Vegetables</v>
          </cell>
          <cell r="C563">
            <v>142</v>
          </cell>
          <cell r="E563">
            <v>39984</v>
          </cell>
          <cell r="K563">
            <v>39994</v>
          </cell>
          <cell r="L563">
            <v>2460</v>
          </cell>
        </row>
        <row r="564">
          <cell r="A564" t="str">
            <v>ESV International</v>
          </cell>
          <cell r="C564">
            <v>143</v>
          </cell>
          <cell r="E564">
            <v>39981</v>
          </cell>
          <cell r="L564">
            <v>3712.22</v>
          </cell>
        </row>
        <row r="565">
          <cell r="A565" t="str">
            <v>ESV International</v>
          </cell>
          <cell r="C565">
            <v>144</v>
          </cell>
          <cell r="E565">
            <v>39980</v>
          </cell>
          <cell r="L565">
            <v>3456</v>
          </cell>
        </row>
        <row r="566">
          <cell r="A566" t="str">
            <v>Consolidated Dairy</v>
          </cell>
          <cell r="C566">
            <v>145</v>
          </cell>
          <cell r="E566">
            <v>39980</v>
          </cell>
          <cell r="L566">
            <v>12970.59</v>
          </cell>
        </row>
        <row r="567">
          <cell r="A567" t="str">
            <v>Silverwave Corp.</v>
          </cell>
          <cell r="C567">
            <v>147</v>
          </cell>
          <cell r="E567">
            <v>39970</v>
          </cell>
          <cell r="L567">
            <v>21565.71</v>
          </cell>
        </row>
        <row r="568">
          <cell r="A568" t="str">
            <v>Silverwave Corp.</v>
          </cell>
          <cell r="C568">
            <v>148</v>
          </cell>
          <cell r="E568">
            <v>39980</v>
          </cell>
          <cell r="L568">
            <v>4905.8</v>
          </cell>
        </row>
        <row r="569">
          <cell r="A569" t="str">
            <v>Silverwave Corp.</v>
          </cell>
          <cell r="C569">
            <v>149</v>
          </cell>
          <cell r="E569">
            <v>39981</v>
          </cell>
          <cell r="L569">
            <v>9794.66</v>
          </cell>
        </row>
        <row r="570">
          <cell r="A570" t="str">
            <v>Sommielier</v>
          </cell>
          <cell r="C570">
            <v>208</v>
          </cell>
          <cell r="D570">
            <v>12749</v>
          </cell>
          <cell r="E570">
            <v>39994</v>
          </cell>
          <cell r="L570">
            <v>10948.85</v>
          </cell>
        </row>
        <row r="571">
          <cell r="A571" t="str">
            <v>Italfood Distribution Inc.</v>
          </cell>
          <cell r="C571" t="str">
            <v>179</v>
          </cell>
          <cell r="D571">
            <v>7249</v>
          </cell>
          <cell r="E571">
            <v>39993</v>
          </cell>
          <cell r="L571">
            <v>8251.98</v>
          </cell>
        </row>
        <row r="572">
          <cell r="A572" t="str">
            <v>Lartizan</v>
          </cell>
          <cell r="C572" t="str">
            <v>183</v>
          </cell>
          <cell r="D572">
            <v>463</v>
          </cell>
          <cell r="E572">
            <v>39942</v>
          </cell>
          <cell r="L572">
            <v>50947.71</v>
          </cell>
        </row>
        <row r="573">
          <cell r="A573" t="str">
            <v>ADP Industries</v>
          </cell>
          <cell r="C573" t="str">
            <v>184</v>
          </cell>
          <cell r="D573">
            <v>55964</v>
          </cell>
          <cell r="E573">
            <v>39975</v>
          </cell>
          <cell r="L573">
            <v>6204.4</v>
          </cell>
        </row>
        <row r="574">
          <cell r="A574" t="str">
            <v>Consolidated Dairy</v>
          </cell>
          <cell r="C574" t="str">
            <v>185</v>
          </cell>
          <cell r="D574">
            <v>392455</v>
          </cell>
          <cell r="E574">
            <v>39991</v>
          </cell>
          <cell r="L574">
            <v>9662.9500000000007</v>
          </cell>
        </row>
        <row r="575">
          <cell r="A575" t="str">
            <v>Silverwave Corp.</v>
          </cell>
          <cell r="C575" t="str">
            <v>186</v>
          </cell>
          <cell r="D575">
            <v>5484</v>
          </cell>
          <cell r="E575">
            <v>39987</v>
          </cell>
          <cell r="L575">
            <v>3092.15</v>
          </cell>
        </row>
        <row r="576">
          <cell r="A576" t="str">
            <v>Silverwave Corp.</v>
          </cell>
          <cell r="C576" t="str">
            <v>187</v>
          </cell>
          <cell r="D576">
            <v>5531</v>
          </cell>
          <cell r="E576">
            <v>39991</v>
          </cell>
          <cell r="L576">
            <v>4164.9799999999996</v>
          </cell>
        </row>
        <row r="577">
          <cell r="A577" t="str">
            <v>Silverwave Corp.</v>
          </cell>
          <cell r="C577" t="str">
            <v>188</v>
          </cell>
          <cell r="D577">
            <v>56540</v>
          </cell>
          <cell r="E577">
            <v>39988</v>
          </cell>
          <cell r="L577">
            <v>4509.7700000000004</v>
          </cell>
        </row>
        <row r="578">
          <cell r="A578" t="str">
            <v>Sommielier</v>
          </cell>
          <cell r="C578" t="str">
            <v>192</v>
          </cell>
          <cell r="D578">
            <v>12727</v>
          </cell>
          <cell r="E578">
            <v>39990</v>
          </cell>
          <cell r="L578">
            <v>14275</v>
          </cell>
        </row>
        <row r="579">
          <cell r="A579" t="str">
            <v>Jelly Martens(DePhiCo)</v>
          </cell>
          <cell r="C579" t="str">
            <v>193</v>
          </cell>
          <cell r="E579">
            <v>39989</v>
          </cell>
          <cell r="L579">
            <v>39220</v>
          </cell>
        </row>
        <row r="580">
          <cell r="A580" t="str">
            <v>JJEd Phils</v>
          </cell>
          <cell r="C580" t="str">
            <v>194</v>
          </cell>
          <cell r="D580">
            <v>72660</v>
          </cell>
          <cell r="E580">
            <v>39988</v>
          </cell>
          <cell r="L580">
            <v>4619.3900000000003</v>
          </cell>
        </row>
        <row r="581">
          <cell r="A581" t="str">
            <v>AS Alvar</v>
          </cell>
          <cell r="C581" t="str">
            <v>195</v>
          </cell>
          <cell r="D581">
            <v>33753</v>
          </cell>
          <cell r="E581">
            <v>39988</v>
          </cell>
          <cell r="L581">
            <v>1734.38</v>
          </cell>
        </row>
        <row r="582">
          <cell r="A582" t="str">
            <v>Mamboo Food Enterprise</v>
          </cell>
          <cell r="C582" t="str">
            <v>196</v>
          </cell>
          <cell r="D582">
            <v>181</v>
          </cell>
          <cell r="E582">
            <v>39988</v>
          </cell>
          <cell r="L582">
            <v>1536.16</v>
          </cell>
        </row>
        <row r="583">
          <cell r="A583" t="str">
            <v>JC Care</v>
          </cell>
          <cell r="C583" t="str">
            <v>197</v>
          </cell>
          <cell r="D583">
            <v>477</v>
          </cell>
          <cell r="E583">
            <v>39985</v>
          </cell>
          <cell r="L583">
            <v>1486.3610000000001</v>
          </cell>
        </row>
        <row r="584">
          <cell r="A584" t="str">
            <v>S&amp;L Fine Foods</v>
          </cell>
          <cell r="C584" t="str">
            <v>198-a</v>
          </cell>
          <cell r="D584">
            <v>3768</v>
          </cell>
          <cell r="E584">
            <v>39983</v>
          </cell>
          <cell r="L584">
            <v>4329</v>
          </cell>
        </row>
        <row r="585">
          <cell r="A585" t="str">
            <v>S&amp;L Fine Foods</v>
          </cell>
          <cell r="C585" t="str">
            <v>198-b</v>
          </cell>
          <cell r="D585">
            <v>3816</v>
          </cell>
          <cell r="E585">
            <v>39987</v>
          </cell>
          <cell r="L585">
            <v>31774.29</v>
          </cell>
        </row>
        <row r="586">
          <cell r="A586" t="str">
            <v>Siverwave</v>
          </cell>
          <cell r="C586" t="str">
            <v>199</v>
          </cell>
          <cell r="D586">
            <v>5480</v>
          </cell>
          <cell r="E586">
            <v>39986</v>
          </cell>
          <cell r="L586">
            <v>6625.31</v>
          </cell>
        </row>
        <row r="587">
          <cell r="A587" t="str">
            <v>Italfood Distribution Inc.</v>
          </cell>
          <cell r="C587">
            <v>201</v>
          </cell>
          <cell r="D587">
            <v>72990</v>
          </cell>
          <cell r="E587">
            <v>39987</v>
          </cell>
          <cell r="L587">
            <v>3384.19</v>
          </cell>
        </row>
        <row r="588">
          <cell r="A588" t="str">
            <v>JJEd Phils</v>
          </cell>
          <cell r="C588">
            <v>202</v>
          </cell>
          <cell r="D588">
            <v>72532</v>
          </cell>
          <cell r="E588">
            <v>39986</v>
          </cell>
          <cell r="L588">
            <v>3437.04</v>
          </cell>
        </row>
        <row r="589">
          <cell r="A589" t="str">
            <v>JC Care</v>
          </cell>
          <cell r="C589">
            <v>203</v>
          </cell>
          <cell r="D589">
            <v>479</v>
          </cell>
          <cell r="E589">
            <v>39992</v>
          </cell>
          <cell r="L589">
            <v>1486.61</v>
          </cell>
        </row>
        <row r="590">
          <cell r="A590" t="str">
            <v>King Richard</v>
          </cell>
          <cell r="C590">
            <v>204</v>
          </cell>
          <cell r="D590" t="str">
            <v>varios si</v>
          </cell>
          <cell r="L590">
            <v>29015.72</v>
          </cell>
        </row>
        <row r="591">
          <cell r="A591" t="str">
            <v>Gourmet &amp; Wine Expert</v>
          </cell>
          <cell r="C591">
            <v>205</v>
          </cell>
          <cell r="D591">
            <v>18686</v>
          </cell>
          <cell r="E591">
            <v>39994</v>
          </cell>
          <cell r="L591">
            <v>14947.87</v>
          </cell>
        </row>
        <row r="592">
          <cell r="A592" t="str">
            <v>S&amp;L Fine Foods</v>
          </cell>
          <cell r="C592">
            <v>206</v>
          </cell>
          <cell r="D592">
            <v>3889</v>
          </cell>
          <cell r="E592">
            <v>39994</v>
          </cell>
          <cell r="L592">
            <v>4658.04</v>
          </cell>
        </row>
        <row r="593">
          <cell r="A593" t="str">
            <v>S&amp;L Fine Foods</v>
          </cell>
          <cell r="C593">
            <v>207</v>
          </cell>
          <cell r="D593">
            <v>3902</v>
          </cell>
          <cell r="E593">
            <v>39995</v>
          </cell>
          <cell r="L593">
            <v>4955.3599999999997</v>
          </cell>
        </row>
        <row r="594">
          <cell r="A594" t="str">
            <v>S&amp;L Fine Foods</v>
          </cell>
          <cell r="C594">
            <v>209</v>
          </cell>
          <cell r="D594">
            <v>3788</v>
          </cell>
          <cell r="E594">
            <v>39984</v>
          </cell>
          <cell r="L594">
            <v>6954.67</v>
          </cell>
        </row>
        <row r="595">
          <cell r="A595" t="str">
            <v>Consolidated Daiy Frozen</v>
          </cell>
          <cell r="C595">
            <v>215</v>
          </cell>
          <cell r="D595">
            <v>393121</v>
          </cell>
          <cell r="E595">
            <v>39997</v>
          </cell>
          <cell r="L595">
            <v>7100.39</v>
          </cell>
        </row>
        <row r="596">
          <cell r="A596" t="str">
            <v>Q&amp;H Foods In.</v>
          </cell>
          <cell r="C596">
            <v>225</v>
          </cell>
          <cell r="D596">
            <v>1242</v>
          </cell>
          <cell r="E596">
            <v>40000</v>
          </cell>
          <cell r="L596">
            <v>1750</v>
          </cell>
        </row>
        <row r="597">
          <cell r="A597" t="str">
            <v>Reyes-Fajado &amp; Alciso</v>
          </cell>
          <cell r="C597">
            <v>227</v>
          </cell>
          <cell r="L597">
            <v>15000</v>
          </cell>
        </row>
        <row r="598">
          <cell r="A598" t="str">
            <v>JC Care</v>
          </cell>
          <cell r="C598">
            <v>229</v>
          </cell>
          <cell r="D598">
            <v>486</v>
          </cell>
          <cell r="E598">
            <v>39999</v>
          </cell>
          <cell r="L598">
            <v>1473.21</v>
          </cell>
        </row>
        <row r="599">
          <cell r="A599" t="str">
            <v>Lartizan</v>
          </cell>
          <cell r="C599">
            <v>230</v>
          </cell>
          <cell r="D599">
            <v>478</v>
          </cell>
          <cell r="E599">
            <v>40002</v>
          </cell>
          <cell r="L599">
            <v>51108.7</v>
          </cell>
        </row>
        <row r="600">
          <cell r="A600" t="str">
            <v>Italfood Distribution Inc.</v>
          </cell>
          <cell r="C600">
            <v>231</v>
          </cell>
          <cell r="D600">
            <v>7255</v>
          </cell>
          <cell r="E600">
            <v>40000</v>
          </cell>
          <cell r="L600">
            <v>19950.189999999999</v>
          </cell>
        </row>
        <row r="601">
          <cell r="A601" t="str">
            <v>Booze Online</v>
          </cell>
          <cell r="C601">
            <v>232</v>
          </cell>
          <cell r="D601">
            <v>5442</v>
          </cell>
          <cell r="E601">
            <v>40001</v>
          </cell>
          <cell r="L601">
            <v>14033.57</v>
          </cell>
        </row>
        <row r="602">
          <cell r="A602" t="str">
            <v>PVF Enteprise</v>
          </cell>
          <cell r="C602">
            <v>234</v>
          </cell>
          <cell r="D602">
            <v>5382</v>
          </cell>
          <cell r="E602">
            <v>40003</v>
          </cell>
          <cell r="L602">
            <v>5014.82</v>
          </cell>
        </row>
        <row r="603">
          <cell r="A603" t="str">
            <v>Sileverwave Corp.</v>
          </cell>
          <cell r="C603">
            <v>235</v>
          </cell>
          <cell r="D603">
            <v>5616</v>
          </cell>
          <cell r="E603">
            <v>40002</v>
          </cell>
          <cell r="L603">
            <v>24555.98</v>
          </cell>
        </row>
        <row r="604">
          <cell r="A604" t="str">
            <v>French Baker</v>
          </cell>
          <cell r="C604">
            <v>236</v>
          </cell>
          <cell r="E604">
            <v>39963</v>
          </cell>
          <cell r="L604">
            <v>7433</v>
          </cell>
        </row>
        <row r="605">
          <cell r="A605" t="str">
            <v>Powerluck</v>
          </cell>
          <cell r="B605">
            <v>104481</v>
          </cell>
          <cell r="C605">
            <v>241</v>
          </cell>
          <cell r="E605">
            <v>40009</v>
          </cell>
          <cell r="L605">
            <v>6780</v>
          </cell>
        </row>
        <row r="606">
          <cell r="A606" t="str">
            <v>Europo</v>
          </cell>
          <cell r="B606">
            <v>23294</v>
          </cell>
          <cell r="C606" t="str">
            <v>242-a</v>
          </cell>
          <cell r="E606">
            <v>39993</v>
          </cell>
          <cell r="L606">
            <v>3750</v>
          </cell>
        </row>
        <row r="607">
          <cell r="A607" t="str">
            <v>PVF Enterprise</v>
          </cell>
          <cell r="B607">
            <v>5865</v>
          </cell>
          <cell r="C607">
            <v>242</v>
          </cell>
          <cell r="E607">
            <v>40010</v>
          </cell>
          <cell r="L607">
            <v>5014.82</v>
          </cell>
        </row>
        <row r="608">
          <cell r="A608" t="str">
            <v>BestChoice</v>
          </cell>
          <cell r="C608">
            <v>247</v>
          </cell>
          <cell r="E608">
            <v>40007</v>
          </cell>
          <cell r="L608">
            <v>3766.07</v>
          </cell>
        </row>
        <row r="609">
          <cell r="A609" t="str">
            <v>Edisy Trading</v>
          </cell>
          <cell r="B609">
            <v>34513</v>
          </cell>
          <cell r="C609">
            <v>250</v>
          </cell>
          <cell r="E609">
            <v>39933</v>
          </cell>
          <cell r="L609">
            <v>6300</v>
          </cell>
        </row>
        <row r="610">
          <cell r="A610" t="str">
            <v>Consolidated Dairy</v>
          </cell>
          <cell r="C610">
            <v>252</v>
          </cell>
          <cell r="E610">
            <v>40010</v>
          </cell>
          <cell r="L610">
            <v>3364.69</v>
          </cell>
        </row>
        <row r="611">
          <cell r="A611" t="str">
            <v>Hay Struck Inc.</v>
          </cell>
          <cell r="B611">
            <v>385</v>
          </cell>
          <cell r="C611">
            <v>253</v>
          </cell>
          <cell r="E611">
            <v>40011</v>
          </cell>
          <cell r="L611">
            <v>4281.43</v>
          </cell>
        </row>
        <row r="612">
          <cell r="A612" t="str">
            <v>Silverwave Corp.</v>
          </cell>
          <cell r="B612">
            <v>5650</v>
          </cell>
          <cell r="C612">
            <v>254</v>
          </cell>
          <cell r="E612">
            <v>40005</v>
          </cell>
          <cell r="L612">
            <v>3282.43</v>
          </cell>
        </row>
        <row r="613">
          <cell r="A613" t="str">
            <v>Silverwave Corp.</v>
          </cell>
          <cell r="C613">
            <v>255</v>
          </cell>
          <cell r="E613">
            <v>40008</v>
          </cell>
          <cell r="L613">
            <v>12952.69</v>
          </cell>
        </row>
        <row r="614">
          <cell r="A614" t="str">
            <v>Silverwave Corp.</v>
          </cell>
          <cell r="C614">
            <v>257</v>
          </cell>
          <cell r="E614">
            <v>40012</v>
          </cell>
          <cell r="L614">
            <v>2625.29</v>
          </cell>
        </row>
        <row r="615">
          <cell r="A615" t="str">
            <v>S&amp;L Fine Foods</v>
          </cell>
          <cell r="C615">
            <v>258</v>
          </cell>
          <cell r="E615">
            <v>40008</v>
          </cell>
          <cell r="L615">
            <v>8436.14</v>
          </cell>
        </row>
        <row r="616">
          <cell r="A616" t="str">
            <v>S&amp;L Fine Foods</v>
          </cell>
          <cell r="C616">
            <v>259</v>
          </cell>
          <cell r="E616">
            <v>40011</v>
          </cell>
          <cell r="L616">
            <v>9381.09</v>
          </cell>
        </row>
        <row r="617">
          <cell r="A617" t="str">
            <v>Sommelier</v>
          </cell>
          <cell r="B617">
            <v>12844</v>
          </cell>
          <cell r="C617">
            <v>262</v>
          </cell>
          <cell r="E617">
            <v>40003</v>
          </cell>
          <cell r="L617">
            <v>16087.5</v>
          </cell>
        </row>
        <row r="618">
          <cell r="A618" t="str">
            <v>Sommelier</v>
          </cell>
          <cell r="B618">
            <v>12749</v>
          </cell>
          <cell r="C618">
            <v>208</v>
          </cell>
          <cell r="E618">
            <v>39994</v>
          </cell>
          <cell r="L618">
            <v>10948.85</v>
          </cell>
        </row>
        <row r="619">
          <cell r="A619" t="str">
            <v>Sofia Seafood</v>
          </cell>
          <cell r="B619">
            <v>27385</v>
          </cell>
          <cell r="E619">
            <v>40038</v>
          </cell>
        </row>
        <row r="620">
          <cell r="A620" t="str">
            <v>Meralco</v>
          </cell>
          <cell r="L620">
            <v>7925.65</v>
          </cell>
        </row>
        <row r="621">
          <cell r="A621" t="str">
            <v>Manila Water</v>
          </cell>
          <cell r="L621">
            <v>1094.68</v>
          </cell>
        </row>
        <row r="637">
          <cell r="L637">
            <v>0</v>
          </cell>
        </row>
        <row r="638">
          <cell r="A638" t="str">
            <v>FUND BALANCE AFTER ALLOTTED PAYABLES</v>
          </cell>
          <cell r="L638">
            <v>-10522491.02078912</v>
          </cell>
        </row>
        <row r="661">
          <cell r="A661" t="str">
            <v>FUND BALANCE AFTER ALLOTED PAYABLES</v>
          </cell>
        </row>
      </sheetData>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e file!!!"/>
      <sheetName val="Asset depreciation"/>
      <sheetName val="ffm15model"/>
      <sheetName val="ffm17model"/>
    </sheetNames>
    <sheetDataSet>
      <sheetData sheetId="0"/>
      <sheetData sheetId="1">
        <row r="20">
          <cell r="B20" t="str">
            <v/>
          </cell>
        </row>
      </sheetData>
      <sheetData sheetId="2"/>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3"/>
  <sheetViews>
    <sheetView showGridLines="0" tabSelected="1" view="pageBreakPreview" topLeftCell="A106" zoomScale="170" zoomScaleNormal="85" zoomScaleSheetLayoutView="115" workbookViewId="0">
      <selection activeCell="D176" sqref="D176"/>
    </sheetView>
  </sheetViews>
  <sheetFormatPr baseColWidth="10" defaultColWidth="8" defaultRowHeight="12"/>
  <cols>
    <col min="1" max="1" width="1.42578125" style="4" customWidth="1"/>
    <col min="2" max="2" width="15.7109375" style="4" customWidth="1"/>
    <col min="3" max="3" width="44.7109375" style="4" customWidth="1"/>
    <col min="4" max="4" width="10.7109375" style="4" customWidth="1"/>
    <col min="5" max="5" width="11.7109375" style="138" customWidth="1"/>
    <col min="6" max="16384" width="8" style="4"/>
  </cols>
  <sheetData>
    <row r="1" spans="1:5" ht="13" thickBot="1">
      <c r="A1" s="1"/>
      <c r="B1" s="1"/>
      <c r="C1" s="1"/>
      <c r="D1" s="2" t="s">
        <v>8</v>
      </c>
      <c r="E1" s="3"/>
    </row>
    <row r="2" spans="1:5" ht="13" thickBot="1">
      <c r="A2" s="5" t="s">
        <v>9</v>
      </c>
      <c r="B2" s="1"/>
      <c r="C2" s="322"/>
      <c r="D2" s="1"/>
      <c r="E2" s="6"/>
    </row>
    <row r="3" spans="1:5" ht="13" thickBot="1">
      <c r="A3" s="5" t="s">
        <v>10</v>
      </c>
      <c r="B3" s="1"/>
      <c r="C3" s="323"/>
      <c r="D3" s="327" t="s">
        <v>254</v>
      </c>
      <c r="E3" s="328"/>
    </row>
    <row r="4" spans="1:5" ht="13" thickBot="1">
      <c r="A4" s="1"/>
      <c r="B4" s="7"/>
      <c r="C4" s="7" t="s">
        <v>11</v>
      </c>
      <c r="D4" s="7"/>
      <c r="E4" s="8"/>
    </row>
    <row r="5" spans="1:5" ht="13" thickBot="1">
      <c r="A5" s="9"/>
      <c r="B5" s="10" t="s">
        <v>12</v>
      </c>
      <c r="C5" s="11" t="s">
        <v>13</v>
      </c>
      <c r="D5" s="11" t="s">
        <v>14</v>
      </c>
      <c r="E5" s="12" t="s">
        <v>15</v>
      </c>
    </row>
    <row r="6" spans="1:5">
      <c r="A6" s="13" t="s">
        <v>16</v>
      </c>
      <c r="B6" s="14" t="s">
        <v>17</v>
      </c>
      <c r="C6" s="15"/>
      <c r="D6" s="15"/>
      <c r="E6" s="16"/>
    </row>
    <row r="7" spans="1:5" ht="26">
      <c r="A7" s="17"/>
      <c r="B7" s="18" t="s">
        <v>18</v>
      </c>
      <c r="C7" s="19" t="s">
        <v>19</v>
      </c>
      <c r="D7" s="20" t="s">
        <v>20</v>
      </c>
      <c r="E7" s="21"/>
    </row>
    <row r="8" spans="1:5" ht="24.75" customHeight="1">
      <c r="A8" s="17"/>
      <c r="B8" s="22" t="s">
        <v>21</v>
      </c>
      <c r="C8" s="19" t="s">
        <v>22</v>
      </c>
      <c r="D8" s="20" t="s">
        <v>23</v>
      </c>
      <c r="E8" s="21"/>
    </row>
    <row r="9" spans="1:5" ht="24" customHeight="1">
      <c r="A9" s="17"/>
      <c r="B9" s="18"/>
      <c r="C9" s="19" t="s">
        <v>24</v>
      </c>
      <c r="D9" s="20" t="s">
        <v>25</v>
      </c>
      <c r="E9" s="21"/>
    </row>
    <row r="10" spans="1:5" ht="38.25" customHeight="1">
      <c r="A10" s="17"/>
      <c r="B10" s="18"/>
      <c r="C10" s="23" t="s">
        <v>26</v>
      </c>
      <c r="D10" s="20" t="s">
        <v>27</v>
      </c>
      <c r="E10" s="21"/>
    </row>
    <row r="11" spans="1:5" ht="26">
      <c r="A11" s="17"/>
      <c r="B11" s="18"/>
      <c r="C11" s="19" t="s">
        <v>28</v>
      </c>
      <c r="D11" s="20" t="s">
        <v>29</v>
      </c>
      <c r="E11" s="21"/>
    </row>
    <row r="12" spans="1:5" ht="11.25" customHeight="1">
      <c r="A12" s="17"/>
      <c r="B12" s="18"/>
      <c r="C12" s="19" t="s">
        <v>30</v>
      </c>
      <c r="D12" s="20" t="s">
        <v>31</v>
      </c>
      <c r="E12" s="21"/>
    </row>
    <row r="13" spans="1:5" ht="13.5" customHeight="1">
      <c r="A13" s="24"/>
      <c r="B13" s="25" t="s">
        <v>32</v>
      </c>
      <c r="C13" s="26"/>
      <c r="D13" s="27"/>
      <c r="E13" s="28">
        <v>3</v>
      </c>
    </row>
    <row r="14" spans="1:5">
      <c r="A14" s="17"/>
      <c r="B14" s="18"/>
      <c r="C14" s="29" t="s">
        <v>33</v>
      </c>
      <c r="D14" s="30"/>
      <c r="E14" s="21"/>
    </row>
    <row r="15" spans="1:5">
      <c r="A15" s="17"/>
      <c r="B15" s="18"/>
      <c r="C15" s="31" t="s">
        <v>206</v>
      </c>
      <c r="D15" s="30"/>
      <c r="E15" s="21"/>
    </row>
    <row r="16" spans="1:5" ht="14.25" customHeight="1">
      <c r="A16" s="17"/>
      <c r="B16" s="18" t="s">
        <v>34</v>
      </c>
      <c r="C16" s="29" t="s">
        <v>35</v>
      </c>
      <c r="D16" s="32" t="s">
        <v>20</v>
      </c>
      <c r="E16" s="21"/>
    </row>
    <row r="17" spans="1:5" ht="15.75" customHeight="1">
      <c r="A17" s="17"/>
      <c r="B17" s="18" t="s">
        <v>36</v>
      </c>
      <c r="C17" s="29" t="s">
        <v>37</v>
      </c>
      <c r="D17" s="32" t="s">
        <v>23</v>
      </c>
      <c r="E17" s="21"/>
    </row>
    <row r="18" spans="1:5" ht="15.75" customHeight="1">
      <c r="A18" s="17"/>
      <c r="B18" s="285">
        <v>2.6200000000000001E-2</v>
      </c>
      <c r="C18" s="29" t="s">
        <v>38</v>
      </c>
      <c r="D18" s="32" t="s">
        <v>25</v>
      </c>
      <c r="E18" s="21"/>
    </row>
    <row r="19" spans="1:5" ht="15.75" customHeight="1">
      <c r="A19" s="17"/>
      <c r="B19" s="33"/>
      <c r="C19" s="29" t="s">
        <v>39</v>
      </c>
      <c r="D19" s="32" t="s">
        <v>27</v>
      </c>
      <c r="E19" s="21"/>
    </row>
    <row r="20" spans="1:5" ht="14.25" customHeight="1">
      <c r="A20" s="17"/>
      <c r="B20" s="18"/>
      <c r="C20" s="29" t="s">
        <v>40</v>
      </c>
      <c r="D20" s="32" t="s">
        <v>29</v>
      </c>
      <c r="E20" s="21"/>
    </row>
    <row r="21" spans="1:5" ht="13" thickBot="1">
      <c r="A21" s="34"/>
      <c r="B21" s="282" t="s">
        <v>32</v>
      </c>
      <c r="C21" s="36" t="s">
        <v>41</v>
      </c>
      <c r="D21" s="37">
        <v>0</v>
      </c>
      <c r="E21" s="38">
        <v>4</v>
      </c>
    </row>
    <row r="22" spans="1:5" ht="13.5" customHeight="1">
      <c r="A22" s="17"/>
      <c r="B22" s="18"/>
      <c r="C22" s="39" t="s">
        <v>33</v>
      </c>
      <c r="D22" s="40"/>
      <c r="E22" s="21"/>
    </row>
    <row r="23" spans="1:5">
      <c r="A23" s="17"/>
      <c r="B23" s="18" t="s">
        <v>42</v>
      </c>
      <c r="C23" s="31" t="s">
        <v>206</v>
      </c>
      <c r="D23" s="30"/>
      <c r="E23" s="21"/>
    </row>
    <row r="24" spans="1:5">
      <c r="A24" s="17"/>
      <c r="B24" s="18" t="s">
        <v>43</v>
      </c>
      <c r="C24" s="29" t="s">
        <v>44</v>
      </c>
      <c r="D24" s="32" t="s">
        <v>23</v>
      </c>
      <c r="E24" s="21"/>
    </row>
    <row r="25" spans="1:5">
      <c r="A25" s="17"/>
      <c r="B25" s="284">
        <v>0.28999999999999998</v>
      </c>
      <c r="C25" s="29" t="s">
        <v>45</v>
      </c>
      <c r="D25" s="32" t="s">
        <v>25</v>
      </c>
      <c r="E25" s="21"/>
    </row>
    <row r="26" spans="1:5">
      <c r="A26" s="17"/>
      <c r="B26" s="276"/>
      <c r="C26" s="29" t="s">
        <v>46</v>
      </c>
      <c r="D26" s="32" t="s">
        <v>27</v>
      </c>
      <c r="E26" s="21"/>
    </row>
    <row r="27" spans="1:5" ht="13" thickBot="1">
      <c r="A27" s="17"/>
      <c r="B27" s="41"/>
      <c r="C27" s="29" t="s">
        <v>47</v>
      </c>
      <c r="D27" s="42" t="s">
        <v>29</v>
      </c>
      <c r="E27" s="21"/>
    </row>
    <row r="28" spans="1:5" ht="13" thickBot="1">
      <c r="A28" s="34"/>
      <c r="B28" s="35" t="s">
        <v>32</v>
      </c>
      <c r="C28" s="43" t="s">
        <v>48</v>
      </c>
      <c r="D28" s="42" t="s">
        <v>31</v>
      </c>
      <c r="E28" s="38">
        <v>1</v>
      </c>
    </row>
    <row r="29" spans="1:5">
      <c r="A29" s="17"/>
      <c r="B29" s="18" t="s">
        <v>49</v>
      </c>
      <c r="C29" s="31" t="s">
        <v>50</v>
      </c>
      <c r="D29" s="40"/>
      <c r="E29" s="21"/>
    </row>
    <row r="30" spans="1:5">
      <c r="A30" s="17"/>
      <c r="B30" s="44" t="s">
        <v>51</v>
      </c>
      <c r="C30" s="31" t="s">
        <v>52</v>
      </c>
      <c r="D30" s="40"/>
      <c r="E30" s="21"/>
    </row>
    <row r="31" spans="1:5">
      <c r="A31" s="17"/>
      <c r="B31" s="44" t="s">
        <v>53</v>
      </c>
      <c r="C31" s="39" t="s">
        <v>54</v>
      </c>
      <c r="D31" s="40">
        <v>3</v>
      </c>
      <c r="E31" s="21"/>
    </row>
    <row r="32" spans="1:5" ht="12" customHeight="1">
      <c r="A32" s="17"/>
      <c r="B32" s="44" t="s">
        <v>55</v>
      </c>
      <c r="C32" s="29" t="s">
        <v>56</v>
      </c>
      <c r="D32" s="30">
        <v>2</v>
      </c>
      <c r="E32" s="21"/>
    </row>
    <row r="33" spans="1:5" ht="18" customHeight="1">
      <c r="A33" s="17"/>
      <c r="B33" s="329" t="s">
        <v>255</v>
      </c>
      <c r="C33" s="29" t="s">
        <v>57</v>
      </c>
      <c r="D33" s="30">
        <v>1</v>
      </c>
      <c r="E33" s="21"/>
    </row>
    <row r="34" spans="1:5" ht="12" customHeight="1">
      <c r="A34" s="17"/>
      <c r="B34" s="330"/>
      <c r="C34" s="29" t="s">
        <v>58</v>
      </c>
      <c r="D34" s="30">
        <v>0</v>
      </c>
      <c r="E34" s="21"/>
    </row>
    <row r="35" spans="1:5" ht="21" customHeight="1">
      <c r="A35" s="17"/>
      <c r="B35" s="330"/>
      <c r="C35" s="1"/>
      <c r="D35" s="45"/>
      <c r="E35" s="16"/>
    </row>
    <row r="36" spans="1:5" ht="13" thickBot="1">
      <c r="A36" s="34"/>
      <c r="B36" s="35" t="s">
        <v>32</v>
      </c>
      <c r="C36" s="46"/>
      <c r="D36" s="47"/>
      <c r="E36" s="38">
        <v>3</v>
      </c>
    </row>
    <row r="37" spans="1:5">
      <c r="A37" s="17"/>
      <c r="B37" s="283" t="s">
        <v>59</v>
      </c>
      <c r="C37" s="31" t="s">
        <v>50</v>
      </c>
      <c r="D37" s="45"/>
      <c r="E37" s="16"/>
    </row>
    <row r="38" spans="1:5">
      <c r="A38" s="17"/>
      <c r="B38" s="44" t="s">
        <v>51</v>
      </c>
      <c r="C38" s="31" t="s">
        <v>60</v>
      </c>
      <c r="D38" s="45"/>
      <c r="E38" s="16"/>
    </row>
    <row r="39" spans="1:5">
      <c r="A39" s="17"/>
      <c r="B39" s="44" t="s">
        <v>53</v>
      </c>
      <c r="C39" s="39" t="s">
        <v>54</v>
      </c>
      <c r="D39" s="45">
        <v>3</v>
      </c>
      <c r="E39" s="16"/>
    </row>
    <row r="40" spans="1:5">
      <c r="A40" s="17"/>
      <c r="B40" s="44" t="s">
        <v>55</v>
      </c>
      <c r="C40" s="29" t="s">
        <v>56</v>
      </c>
      <c r="D40" s="30">
        <v>2</v>
      </c>
      <c r="E40" s="16"/>
    </row>
    <row r="41" spans="1:5">
      <c r="A41" s="17"/>
      <c r="B41" s="48">
        <v>76.19</v>
      </c>
      <c r="C41" s="29" t="s">
        <v>57</v>
      </c>
      <c r="D41" s="30">
        <v>1</v>
      </c>
      <c r="E41" s="16"/>
    </row>
    <row r="42" spans="1:5">
      <c r="A42" s="17"/>
      <c r="B42" s="49"/>
      <c r="C42" s="29" t="s">
        <v>58</v>
      </c>
      <c r="D42" s="45">
        <v>0</v>
      </c>
      <c r="E42" s="16"/>
    </row>
    <row r="43" spans="1:5" ht="13" thickBot="1">
      <c r="A43" s="34"/>
      <c r="B43" s="35" t="s">
        <v>32</v>
      </c>
      <c r="C43" s="50"/>
      <c r="D43" s="47"/>
      <c r="E43" s="38">
        <v>2</v>
      </c>
    </row>
    <row r="44" spans="1:5">
      <c r="A44" s="17"/>
      <c r="B44" s="18"/>
      <c r="C44" s="51" t="s">
        <v>61</v>
      </c>
      <c r="D44" s="45"/>
      <c r="E44" s="21"/>
    </row>
    <row r="45" spans="1:5">
      <c r="A45" s="17"/>
      <c r="B45" s="18" t="s">
        <v>62</v>
      </c>
      <c r="C45" s="29" t="s">
        <v>63</v>
      </c>
      <c r="D45" s="32" t="s">
        <v>64</v>
      </c>
      <c r="E45" s="52"/>
    </row>
    <row r="46" spans="1:5">
      <c r="A46" s="17"/>
      <c r="B46" s="18" t="s">
        <v>65</v>
      </c>
      <c r="C46" s="29" t="s">
        <v>66</v>
      </c>
      <c r="D46" s="53" t="s">
        <v>67</v>
      </c>
      <c r="E46" s="52"/>
    </row>
    <row r="47" spans="1:5">
      <c r="A47" s="17"/>
      <c r="B47" s="15">
        <v>2.2400000000000002</v>
      </c>
      <c r="C47" s="29" t="s">
        <v>68</v>
      </c>
      <c r="D47" s="32" t="s">
        <v>69</v>
      </c>
      <c r="E47" s="52"/>
    </row>
    <row r="48" spans="1:5">
      <c r="A48" s="17"/>
      <c r="B48" s="54"/>
      <c r="C48" s="29" t="s">
        <v>70</v>
      </c>
      <c r="D48" s="32" t="s">
        <v>71</v>
      </c>
      <c r="E48" s="52"/>
    </row>
    <row r="49" spans="1:5">
      <c r="A49" s="17"/>
      <c r="B49" s="15"/>
      <c r="C49" s="29" t="s">
        <v>72</v>
      </c>
      <c r="D49" s="32" t="s">
        <v>73</v>
      </c>
      <c r="E49" s="52"/>
    </row>
    <row r="50" spans="1:5" ht="13" thickBot="1">
      <c r="A50" s="34"/>
      <c r="B50" s="35" t="s">
        <v>32</v>
      </c>
      <c r="C50" s="43" t="s">
        <v>74</v>
      </c>
      <c r="D50" s="55">
        <v>0</v>
      </c>
      <c r="E50" s="56">
        <v>5</v>
      </c>
    </row>
    <row r="51" spans="1:5" ht="39">
      <c r="A51" s="57"/>
      <c r="B51" s="58" t="s">
        <v>75</v>
      </c>
      <c r="C51" s="59" t="s">
        <v>76</v>
      </c>
      <c r="D51" s="60" t="s">
        <v>64</v>
      </c>
      <c r="E51" s="61"/>
    </row>
    <row r="52" spans="1:5" ht="34.5" customHeight="1">
      <c r="A52" s="17"/>
      <c r="B52" s="62" t="s">
        <v>77</v>
      </c>
      <c r="C52" s="63" t="s">
        <v>78</v>
      </c>
      <c r="D52" s="64" t="s">
        <v>67</v>
      </c>
      <c r="E52" s="52"/>
    </row>
    <row r="53" spans="1:5" ht="25.5" customHeight="1">
      <c r="A53" s="17"/>
      <c r="B53" s="326" t="s">
        <v>79</v>
      </c>
      <c r="C53" s="19" t="s">
        <v>80</v>
      </c>
      <c r="D53" s="65" t="s">
        <v>69</v>
      </c>
      <c r="E53" s="52"/>
    </row>
    <row r="54" spans="1:5" ht="27" customHeight="1">
      <c r="A54" s="17"/>
      <c r="B54" s="326"/>
      <c r="C54" s="19" t="s">
        <v>81</v>
      </c>
      <c r="D54" s="20" t="s">
        <v>71</v>
      </c>
      <c r="E54" s="52"/>
    </row>
    <row r="55" spans="1:5" ht="26.25" customHeight="1">
      <c r="A55" s="17"/>
      <c r="B55" s="287" t="s">
        <v>256</v>
      </c>
      <c r="C55" s="19" t="s">
        <v>82</v>
      </c>
      <c r="D55" s="20" t="s">
        <v>83</v>
      </c>
      <c r="E55" s="52"/>
    </row>
    <row r="56" spans="1:5" ht="33.75" customHeight="1">
      <c r="A56" s="17"/>
      <c r="B56" s="288"/>
      <c r="C56" s="66" t="s">
        <v>84</v>
      </c>
      <c r="D56" s="67">
        <v>1</v>
      </c>
      <c r="E56" s="52"/>
    </row>
    <row r="57" spans="1:5" ht="14.25" customHeight="1">
      <c r="A57" s="17"/>
      <c r="B57" s="18"/>
      <c r="C57" s="29" t="s">
        <v>85</v>
      </c>
      <c r="D57" s="20">
        <v>0</v>
      </c>
      <c r="E57" s="68"/>
    </row>
    <row r="58" spans="1:5" ht="13" thickBot="1">
      <c r="A58" s="34"/>
      <c r="B58" s="35" t="s">
        <v>32</v>
      </c>
      <c r="C58" s="69"/>
      <c r="D58" s="70"/>
      <c r="E58" s="56">
        <v>10</v>
      </c>
    </row>
    <row r="59" spans="1:5">
      <c r="A59" s="71" t="s">
        <v>86</v>
      </c>
      <c r="B59" s="72" t="s">
        <v>87</v>
      </c>
      <c r="C59" s="73"/>
      <c r="D59" s="73"/>
      <c r="E59" s="61"/>
    </row>
    <row r="60" spans="1:5" ht="22.5" customHeight="1">
      <c r="A60" s="13"/>
      <c r="B60" s="74" t="s">
        <v>88</v>
      </c>
      <c r="C60" s="19" t="s">
        <v>89</v>
      </c>
      <c r="D60" s="30">
        <v>5</v>
      </c>
      <c r="E60" s="52"/>
    </row>
    <row r="61" spans="1:5" ht="14.25" customHeight="1">
      <c r="A61" s="17"/>
      <c r="B61" s="75" t="s">
        <v>90</v>
      </c>
      <c r="C61" s="19" t="s">
        <v>91</v>
      </c>
      <c r="D61" s="30">
        <v>4</v>
      </c>
      <c r="E61" s="52"/>
    </row>
    <row r="62" spans="1:5" ht="15.75" customHeight="1">
      <c r="A62" s="17"/>
      <c r="B62" s="18"/>
      <c r="C62" s="29" t="s">
        <v>92</v>
      </c>
      <c r="D62" s="30">
        <v>3</v>
      </c>
      <c r="E62" s="52"/>
    </row>
    <row r="63" spans="1:5" ht="15.75" customHeight="1">
      <c r="A63" s="17"/>
      <c r="B63" s="18"/>
      <c r="C63" s="19" t="s">
        <v>93</v>
      </c>
      <c r="D63" s="30">
        <v>2</v>
      </c>
      <c r="E63" s="52"/>
    </row>
    <row r="64" spans="1:5" ht="15.75" customHeight="1">
      <c r="A64" s="17"/>
      <c r="B64" s="18"/>
      <c r="C64" s="19" t="s">
        <v>94</v>
      </c>
      <c r="D64" s="30">
        <v>1</v>
      </c>
      <c r="E64" s="52"/>
    </row>
    <row r="65" spans="1:5" ht="28.5" customHeight="1">
      <c r="A65" s="17"/>
      <c r="B65" s="18"/>
      <c r="C65" s="23" t="s">
        <v>95</v>
      </c>
      <c r="D65" s="30">
        <v>0</v>
      </c>
      <c r="E65" s="52"/>
    </row>
    <row r="66" spans="1:5">
      <c r="A66" s="24"/>
      <c r="B66" s="25" t="s">
        <v>32</v>
      </c>
      <c r="C66" s="66"/>
      <c r="D66" s="40"/>
      <c r="E66" s="76">
        <v>3</v>
      </c>
    </row>
    <row r="67" spans="1:5" ht="14.25" customHeight="1">
      <c r="A67" s="17"/>
      <c r="B67" s="18" t="s">
        <v>96</v>
      </c>
      <c r="C67" s="77" t="s">
        <v>97</v>
      </c>
      <c r="D67" s="45"/>
      <c r="E67" s="16"/>
    </row>
    <row r="68" spans="1:5" ht="55.5" customHeight="1">
      <c r="A68" s="17"/>
      <c r="B68" s="78"/>
      <c r="C68" s="77" t="s">
        <v>98</v>
      </c>
      <c r="D68" s="45"/>
      <c r="E68" s="16"/>
    </row>
    <row r="69" spans="1:5" ht="18.75" customHeight="1">
      <c r="A69" s="17"/>
      <c r="B69" s="78"/>
      <c r="C69" s="19" t="s">
        <v>99</v>
      </c>
      <c r="D69" s="30">
        <v>5</v>
      </c>
      <c r="E69" s="16"/>
    </row>
    <row r="70" spans="1:5" ht="18.75" customHeight="1">
      <c r="A70" s="17"/>
      <c r="B70" s="78"/>
      <c r="C70" s="19" t="s">
        <v>100</v>
      </c>
      <c r="D70" s="30">
        <v>4</v>
      </c>
      <c r="E70" s="16"/>
    </row>
    <row r="71" spans="1:5" ht="16.5" customHeight="1">
      <c r="A71" s="17"/>
      <c r="B71" s="78"/>
      <c r="C71" s="19" t="s">
        <v>101</v>
      </c>
      <c r="D71" s="30">
        <v>3</v>
      </c>
      <c r="E71" s="16"/>
    </row>
    <row r="72" spans="1:5" ht="18.75" customHeight="1">
      <c r="A72" s="17"/>
      <c r="B72" s="78"/>
      <c r="C72" s="19" t="s">
        <v>102</v>
      </c>
      <c r="D72" s="30">
        <v>2</v>
      </c>
      <c r="E72" s="16"/>
    </row>
    <row r="73" spans="1:5" ht="27.75" customHeight="1">
      <c r="A73" s="17"/>
      <c r="B73" s="78"/>
      <c r="C73" s="19" t="s">
        <v>103</v>
      </c>
      <c r="D73" s="30">
        <v>1</v>
      </c>
      <c r="E73" s="16"/>
    </row>
    <row r="74" spans="1:5" ht="19.5" customHeight="1">
      <c r="A74" s="17"/>
      <c r="B74" s="78"/>
      <c r="C74" s="19" t="s">
        <v>104</v>
      </c>
      <c r="D74" s="30">
        <v>0</v>
      </c>
      <c r="E74" s="16"/>
    </row>
    <row r="75" spans="1:5">
      <c r="A75" s="17"/>
      <c r="B75" s="78" t="s">
        <v>32</v>
      </c>
      <c r="C75" s="77"/>
      <c r="D75" s="45"/>
      <c r="E75" s="79">
        <v>3</v>
      </c>
    </row>
    <row r="76" spans="1:5" ht="1.5" customHeight="1">
      <c r="A76" s="17"/>
      <c r="B76" s="78"/>
      <c r="C76" s="77"/>
      <c r="D76" s="45"/>
      <c r="E76" s="80">
        <v>1</v>
      </c>
    </row>
    <row r="77" spans="1:5" ht="18.75" customHeight="1">
      <c r="A77" s="81"/>
      <c r="B77" s="82" t="s">
        <v>105</v>
      </c>
      <c r="C77" s="83" t="s">
        <v>106</v>
      </c>
      <c r="D77" s="83" t="s">
        <v>107</v>
      </c>
      <c r="E77" s="84"/>
    </row>
    <row r="78" spans="1:5" ht="13.5" customHeight="1">
      <c r="A78" s="17"/>
      <c r="B78" s="18"/>
      <c r="C78" s="77" t="s">
        <v>108</v>
      </c>
      <c r="D78" s="85"/>
      <c r="E78" s="21"/>
    </row>
    <row r="79" spans="1:5" ht="26.25" customHeight="1">
      <c r="A79" s="17"/>
      <c r="B79" s="18"/>
      <c r="C79" s="77" t="s">
        <v>109</v>
      </c>
      <c r="D79" s="85"/>
      <c r="E79" s="21"/>
    </row>
    <row r="80" spans="1:5" ht="13">
      <c r="A80" s="17"/>
      <c r="B80" s="18"/>
      <c r="C80" s="77" t="s">
        <v>110</v>
      </c>
      <c r="D80" s="85"/>
      <c r="E80" s="21"/>
    </row>
    <row r="81" spans="1:5" ht="24" customHeight="1">
      <c r="A81" s="17"/>
      <c r="B81" s="18"/>
      <c r="C81" s="77" t="s">
        <v>111</v>
      </c>
      <c r="D81" s="85"/>
      <c r="E81" s="21"/>
    </row>
    <row r="82" spans="1:5">
      <c r="A82" s="17"/>
      <c r="B82" s="18"/>
      <c r="C82" s="86" t="s">
        <v>112</v>
      </c>
      <c r="D82" s="86"/>
      <c r="E82" s="21"/>
    </row>
    <row r="83" spans="1:5">
      <c r="A83" s="17"/>
      <c r="B83" s="18"/>
      <c r="C83" s="86" t="s">
        <v>113</v>
      </c>
      <c r="D83" s="86"/>
      <c r="E83" s="21"/>
    </row>
    <row r="84" spans="1:5">
      <c r="A84" s="17"/>
      <c r="B84" s="18"/>
      <c r="C84" s="86" t="s">
        <v>114</v>
      </c>
      <c r="D84" s="86"/>
      <c r="E84" s="21"/>
    </row>
    <row r="85" spans="1:5" ht="13" thickBot="1">
      <c r="A85" s="34"/>
      <c r="B85" s="35" t="s">
        <v>32</v>
      </c>
      <c r="C85" s="43"/>
      <c r="D85" s="43"/>
      <c r="E85" s="38">
        <v>3</v>
      </c>
    </row>
    <row r="86" spans="1:5">
      <c r="A86" s="13" t="s">
        <v>115</v>
      </c>
      <c r="B86" s="14" t="s">
        <v>116</v>
      </c>
      <c r="C86" s="86"/>
      <c r="D86" s="86"/>
      <c r="E86" s="52"/>
    </row>
    <row r="87" spans="1:5" ht="41.25" customHeight="1">
      <c r="A87" s="17"/>
      <c r="B87" s="87" t="s">
        <v>117</v>
      </c>
      <c r="C87" s="88" t="s">
        <v>118</v>
      </c>
      <c r="D87" s="20" t="s">
        <v>64</v>
      </c>
      <c r="E87" s="21"/>
    </row>
    <row r="88" spans="1:5" ht="28.5" customHeight="1" thickBot="1">
      <c r="A88" s="17"/>
      <c r="B88" s="18"/>
      <c r="C88" s="89" t="s">
        <v>119</v>
      </c>
      <c r="D88" s="90" t="s">
        <v>67</v>
      </c>
      <c r="E88" s="52"/>
    </row>
    <row r="89" spans="1:5" ht="31.5" customHeight="1">
      <c r="A89" s="17"/>
      <c r="B89" s="18"/>
      <c r="C89" s="91" t="s">
        <v>120</v>
      </c>
      <c r="D89" s="60" t="s">
        <v>69</v>
      </c>
      <c r="E89" s="52"/>
    </row>
    <row r="90" spans="1:5" ht="42.75" customHeight="1">
      <c r="A90" s="17"/>
      <c r="B90" s="18"/>
      <c r="C90" s="88" t="s">
        <v>207</v>
      </c>
      <c r="D90" s="92" t="s">
        <v>71</v>
      </c>
      <c r="E90" s="52"/>
    </row>
    <row r="91" spans="1:5" ht="32.25" customHeight="1">
      <c r="A91" s="17"/>
      <c r="B91" s="93"/>
      <c r="C91" s="88" t="s">
        <v>121</v>
      </c>
      <c r="D91" s="20" t="s">
        <v>83</v>
      </c>
      <c r="E91" s="52"/>
    </row>
    <row r="92" spans="1:5" ht="25.5" customHeight="1">
      <c r="A92" s="17"/>
      <c r="B92" s="1"/>
      <c r="C92" s="94" t="s">
        <v>208</v>
      </c>
      <c r="D92" s="20" t="s">
        <v>122</v>
      </c>
      <c r="E92" s="21"/>
    </row>
    <row r="93" spans="1:5" ht="13" thickBot="1">
      <c r="A93" s="34"/>
      <c r="B93" s="35" t="s">
        <v>32</v>
      </c>
      <c r="C93" s="95"/>
      <c r="D93" s="96"/>
      <c r="E93" s="56">
        <v>8</v>
      </c>
    </row>
    <row r="94" spans="1:5" ht="48.75" customHeight="1">
      <c r="A94" s="57"/>
      <c r="B94" s="97" t="s">
        <v>123</v>
      </c>
      <c r="C94" s="98" t="s">
        <v>124</v>
      </c>
      <c r="D94" s="99" t="s">
        <v>20</v>
      </c>
      <c r="E94" s="61"/>
    </row>
    <row r="95" spans="1:5" ht="41.25" customHeight="1">
      <c r="A95" s="17"/>
      <c r="B95" s="22"/>
      <c r="C95" s="63" t="s">
        <v>125</v>
      </c>
      <c r="D95" s="100" t="s">
        <v>23</v>
      </c>
      <c r="E95" s="52"/>
    </row>
    <row r="96" spans="1:5" ht="43.5" customHeight="1">
      <c r="A96" s="17"/>
      <c r="B96" s="22"/>
      <c r="C96" s="88" t="s">
        <v>126</v>
      </c>
      <c r="D96" s="32" t="s">
        <v>25</v>
      </c>
      <c r="E96" s="52"/>
    </row>
    <row r="97" spans="1:7" ht="26">
      <c r="A97" s="17"/>
      <c r="B97" s="18"/>
      <c r="C97" s="94" t="s">
        <v>209</v>
      </c>
      <c r="D97" s="32" t="s">
        <v>27</v>
      </c>
      <c r="E97" s="52"/>
    </row>
    <row r="98" spans="1:7" ht="42" customHeight="1">
      <c r="A98" s="17"/>
      <c r="B98" s="18"/>
      <c r="C98" s="88" t="s">
        <v>127</v>
      </c>
      <c r="D98" s="32" t="s">
        <v>29</v>
      </c>
      <c r="E98" s="52"/>
    </row>
    <row r="99" spans="1:7">
      <c r="A99" s="24"/>
      <c r="B99" s="25" t="s">
        <v>32</v>
      </c>
      <c r="C99" s="101"/>
      <c r="D99" s="101"/>
      <c r="E99" s="76">
        <v>4</v>
      </c>
    </row>
    <row r="100" spans="1:7" ht="13.5" customHeight="1">
      <c r="A100" s="13" t="s">
        <v>128</v>
      </c>
      <c r="B100" s="14" t="s">
        <v>129</v>
      </c>
      <c r="C100" s="86"/>
      <c r="D100" s="86"/>
      <c r="E100" s="52"/>
    </row>
    <row r="101" spans="1:7" ht="67.5" customHeight="1">
      <c r="A101" s="17"/>
      <c r="B101" s="22" t="s">
        <v>130</v>
      </c>
      <c r="C101" s="281" t="s">
        <v>251</v>
      </c>
      <c r="D101" s="32" t="s">
        <v>20</v>
      </c>
      <c r="E101" s="52"/>
    </row>
    <row r="102" spans="1:7" ht="60.75" customHeight="1">
      <c r="A102" s="17"/>
      <c r="B102" s="18"/>
      <c r="C102" s="19" t="s">
        <v>131</v>
      </c>
      <c r="D102" s="32" t="s">
        <v>132</v>
      </c>
      <c r="E102" s="52"/>
    </row>
    <row r="103" spans="1:7" ht="62.25" customHeight="1">
      <c r="A103" s="17"/>
      <c r="B103" s="18"/>
      <c r="C103" s="88" t="s">
        <v>252</v>
      </c>
      <c r="D103" s="32" t="s">
        <v>133</v>
      </c>
      <c r="E103" s="52"/>
    </row>
    <row r="104" spans="1:7" ht="18.75" customHeight="1">
      <c r="A104" s="17"/>
      <c r="B104" s="18"/>
      <c r="C104" s="88" t="s">
        <v>134</v>
      </c>
      <c r="D104" s="32" t="s">
        <v>31</v>
      </c>
      <c r="E104" s="52"/>
    </row>
    <row r="105" spans="1:7" ht="15.75" customHeight="1" thickBot="1">
      <c r="A105" s="34"/>
      <c r="B105" s="35" t="s">
        <v>32</v>
      </c>
      <c r="C105" s="102"/>
      <c r="D105" s="47"/>
      <c r="E105" s="56">
        <v>3</v>
      </c>
    </row>
    <row r="106" spans="1:7" ht="60" customHeight="1">
      <c r="A106" s="17"/>
      <c r="B106" s="103" t="s">
        <v>135</v>
      </c>
      <c r="C106" s="278" t="s">
        <v>246</v>
      </c>
      <c r="D106" s="67" t="s">
        <v>136</v>
      </c>
      <c r="E106" s="52"/>
      <c r="G106" s="104"/>
    </row>
    <row r="107" spans="1:7" ht="59.25" customHeight="1" thickBot="1">
      <c r="A107" s="17"/>
      <c r="B107" s="103" t="s">
        <v>137</v>
      </c>
      <c r="C107" s="277" t="s">
        <v>245</v>
      </c>
      <c r="D107" s="105" t="s">
        <v>138</v>
      </c>
      <c r="E107" s="52"/>
      <c r="G107" s="104"/>
    </row>
    <row r="108" spans="1:7" ht="120" customHeight="1">
      <c r="A108" s="17"/>
      <c r="B108" s="106"/>
      <c r="C108" s="278" t="s">
        <v>247</v>
      </c>
      <c r="D108" s="107" t="s">
        <v>67</v>
      </c>
      <c r="E108" s="52"/>
      <c r="G108" s="104"/>
    </row>
    <row r="109" spans="1:7" ht="153" customHeight="1">
      <c r="A109" s="17"/>
      <c r="B109" s="106"/>
      <c r="C109" s="277" t="s">
        <v>248</v>
      </c>
      <c r="D109" s="108" t="s">
        <v>139</v>
      </c>
      <c r="E109" s="52"/>
      <c r="G109" s="104"/>
    </row>
    <row r="110" spans="1:7" ht="87.75" customHeight="1">
      <c r="A110" s="17"/>
      <c r="B110" s="18"/>
      <c r="C110" s="277" t="s">
        <v>249</v>
      </c>
      <c r="D110" s="109" t="s">
        <v>140</v>
      </c>
      <c r="E110" s="52"/>
      <c r="G110" s="104"/>
    </row>
    <row r="111" spans="1:7" ht="41.25" customHeight="1">
      <c r="A111" s="17"/>
      <c r="B111" s="18"/>
      <c r="C111" s="277" t="s">
        <v>141</v>
      </c>
      <c r="D111" s="110">
        <v>0</v>
      </c>
      <c r="E111" s="68"/>
      <c r="G111" s="104"/>
    </row>
    <row r="112" spans="1:7">
      <c r="A112" s="24"/>
      <c r="B112" s="25" t="s">
        <v>32</v>
      </c>
      <c r="C112" s="66"/>
      <c r="D112" s="40"/>
      <c r="E112" s="76">
        <v>10</v>
      </c>
    </row>
    <row r="113" spans="1:5" hidden="1">
      <c r="A113" s="111"/>
      <c r="B113" s="112"/>
      <c r="C113" s="113"/>
      <c r="D113" s="114"/>
      <c r="E113" s="115"/>
    </row>
    <row r="114" spans="1:5" ht="43.5" hidden="1" customHeight="1">
      <c r="A114" s="111"/>
      <c r="B114" s="116"/>
      <c r="C114" s="117"/>
      <c r="D114" s="118"/>
      <c r="E114" s="115"/>
    </row>
    <row r="115" spans="1:5" ht="31.5" hidden="1" customHeight="1">
      <c r="A115" s="111"/>
      <c r="B115" s="116"/>
      <c r="C115" s="117"/>
      <c r="D115" s="118"/>
      <c r="E115" s="115"/>
    </row>
    <row r="116" spans="1:5" ht="14.25" hidden="1" customHeight="1">
      <c r="A116" s="111"/>
      <c r="B116" s="112"/>
      <c r="C116" s="117"/>
      <c r="D116" s="119"/>
      <c r="E116" s="115"/>
    </row>
    <row r="117" spans="1:5" hidden="1">
      <c r="A117" s="120"/>
      <c r="B117" s="121"/>
      <c r="C117" s="122"/>
      <c r="D117" s="123"/>
      <c r="E117" s="124">
        <v>0</v>
      </c>
    </row>
    <row r="118" spans="1:5">
      <c r="A118" s="111" t="s">
        <v>142</v>
      </c>
      <c r="B118" s="112" t="s">
        <v>143</v>
      </c>
      <c r="C118" s="113" t="s">
        <v>144</v>
      </c>
      <c r="D118" s="119">
        <v>10</v>
      </c>
      <c r="E118" s="115"/>
    </row>
    <row r="119" spans="1:5">
      <c r="A119" s="125"/>
      <c r="B119" s="126"/>
      <c r="C119" s="127" t="s">
        <v>145</v>
      </c>
      <c r="D119" s="119">
        <v>8</v>
      </c>
      <c r="E119" s="115"/>
    </row>
    <row r="120" spans="1:5">
      <c r="A120" s="125"/>
      <c r="B120" s="128"/>
      <c r="C120" s="127" t="s">
        <v>146</v>
      </c>
      <c r="D120" s="119">
        <v>6</v>
      </c>
      <c r="E120" s="115"/>
    </row>
    <row r="121" spans="1:5">
      <c r="A121" s="125"/>
      <c r="B121" s="286">
        <v>30286</v>
      </c>
      <c r="C121" s="127" t="s">
        <v>147</v>
      </c>
      <c r="D121" s="119">
        <v>4</v>
      </c>
      <c r="E121" s="115"/>
    </row>
    <row r="122" spans="1:5" ht="13">
      <c r="A122" s="125"/>
      <c r="B122" s="129"/>
      <c r="C122" s="127" t="s">
        <v>148</v>
      </c>
      <c r="D122" s="119">
        <v>2</v>
      </c>
      <c r="E122" s="115"/>
    </row>
    <row r="123" spans="1:5">
      <c r="A123" s="125"/>
      <c r="B123" s="126"/>
      <c r="C123" s="127" t="s">
        <v>149</v>
      </c>
      <c r="D123" s="119">
        <v>0</v>
      </c>
      <c r="E123" s="115"/>
    </row>
    <row r="124" spans="1:5">
      <c r="A124" s="125"/>
      <c r="B124" s="130" t="s">
        <v>32</v>
      </c>
      <c r="C124" s="127"/>
      <c r="D124" s="119"/>
      <c r="E124" s="131">
        <v>13</v>
      </c>
    </row>
    <row r="125" spans="1:5" ht="13" thickBot="1">
      <c r="A125" s="125"/>
      <c r="B125" s="126"/>
      <c r="C125" s="127"/>
      <c r="D125" s="127"/>
      <c r="E125" s="115"/>
    </row>
    <row r="126" spans="1:5" ht="14" thickTop="1" thickBot="1">
      <c r="A126" s="132"/>
      <c r="B126" s="133" t="s">
        <v>150</v>
      </c>
      <c r="C126" s="134"/>
      <c r="D126" s="134"/>
      <c r="E126" s="135">
        <f>E13+E21+E28+E36+E43+E50+E58+E66+E75+E85+E93+E99+E105+E112+E124</f>
        <v>75</v>
      </c>
    </row>
    <row r="127" spans="1:5" ht="9.75" customHeight="1">
      <c r="B127" s="136"/>
      <c r="E127" s="137"/>
    </row>
    <row r="128" spans="1:5" ht="3" customHeight="1">
      <c r="B128" s="136"/>
    </row>
    <row r="129" spans="1:5" hidden="1"/>
    <row r="130" spans="1:5" ht="13" thickBot="1">
      <c r="A130" s="139" t="s">
        <v>151</v>
      </c>
      <c r="B130" s="140"/>
      <c r="C130" s="140"/>
      <c r="D130" s="140"/>
      <c r="E130" s="141"/>
    </row>
    <row r="131" spans="1:5" ht="14" thickBot="1">
      <c r="A131" s="142"/>
      <c r="B131" s="143" t="s">
        <v>152</v>
      </c>
      <c r="C131" s="143"/>
      <c r="D131" s="144" t="s">
        <v>153</v>
      </c>
      <c r="E131" s="145" t="s">
        <v>154</v>
      </c>
    </row>
    <row r="132" spans="1:5">
      <c r="A132" s="125"/>
      <c r="B132" s="4" t="s">
        <v>155</v>
      </c>
      <c r="D132" s="113">
        <v>10</v>
      </c>
      <c r="E132" s="146">
        <f>SUM(E13+E21)</f>
        <v>7</v>
      </c>
    </row>
    <row r="133" spans="1:5">
      <c r="A133" s="125"/>
      <c r="B133" s="4" t="s">
        <v>156</v>
      </c>
      <c r="D133" s="113">
        <v>10</v>
      </c>
      <c r="E133" s="146">
        <f>SUM(E28:E43)</f>
        <v>6</v>
      </c>
    </row>
    <row r="134" spans="1:5">
      <c r="A134" s="125"/>
      <c r="B134" s="4" t="s">
        <v>157</v>
      </c>
      <c r="D134" s="113">
        <v>10</v>
      </c>
      <c r="E134" s="146">
        <f>SUM(E50)</f>
        <v>5</v>
      </c>
    </row>
    <row r="135" spans="1:5">
      <c r="A135" s="125"/>
      <c r="B135" s="4" t="s">
        <v>158</v>
      </c>
      <c r="D135" s="113">
        <v>10</v>
      </c>
      <c r="E135" s="146">
        <f>SUM(E58)</f>
        <v>10</v>
      </c>
    </row>
    <row r="136" spans="1:5">
      <c r="A136" s="125"/>
      <c r="D136" s="147">
        <f>SUM(D132:D135)</f>
        <v>40</v>
      </c>
      <c r="E136" s="148">
        <f>SUM(E132:E135)</f>
        <v>28</v>
      </c>
    </row>
    <row r="137" spans="1:5">
      <c r="A137" s="125"/>
      <c r="B137" s="4" t="s">
        <v>159</v>
      </c>
      <c r="D137" s="113"/>
      <c r="E137" s="146"/>
    </row>
    <row r="138" spans="1:5">
      <c r="A138" s="125"/>
      <c r="B138" s="4" t="s">
        <v>160</v>
      </c>
      <c r="D138" s="113">
        <v>5</v>
      </c>
      <c r="E138" s="146">
        <f>SUM(E66)</f>
        <v>3</v>
      </c>
    </row>
    <row r="139" spans="1:5">
      <c r="A139" s="125"/>
      <c r="B139" s="4" t="s">
        <v>161</v>
      </c>
      <c r="D139" s="113">
        <v>5</v>
      </c>
      <c r="E139" s="146">
        <f>SUM(E75)</f>
        <v>3</v>
      </c>
    </row>
    <row r="140" spans="1:5">
      <c r="A140" s="125"/>
      <c r="B140" s="4" t="s">
        <v>162</v>
      </c>
      <c r="D140" s="113">
        <v>5</v>
      </c>
      <c r="E140" s="146">
        <f>E85</f>
        <v>3</v>
      </c>
    </row>
    <row r="141" spans="1:5">
      <c r="A141" s="125"/>
      <c r="D141" s="147">
        <f>+D138+D139+D140</f>
        <v>15</v>
      </c>
      <c r="E141" s="148">
        <f>+E138+E139+E140</f>
        <v>9</v>
      </c>
    </row>
    <row r="142" spans="1:5">
      <c r="A142" s="125"/>
      <c r="B142" s="4" t="s">
        <v>163</v>
      </c>
      <c r="D142" s="113"/>
      <c r="E142" s="146"/>
    </row>
    <row r="143" spans="1:5">
      <c r="A143" s="125"/>
      <c r="B143" s="4" t="s">
        <v>164</v>
      </c>
      <c r="D143" s="113">
        <v>10</v>
      </c>
      <c r="E143" s="146">
        <f>SUM(E93)</f>
        <v>8</v>
      </c>
    </row>
    <row r="144" spans="1:5">
      <c r="A144" s="125"/>
      <c r="B144" s="4" t="s">
        <v>165</v>
      </c>
      <c r="D144" s="113">
        <v>5</v>
      </c>
      <c r="E144" s="146">
        <f>SUM(E99)</f>
        <v>4</v>
      </c>
    </row>
    <row r="145" spans="1:5">
      <c r="A145" s="125"/>
      <c r="D145" s="147">
        <f>+D143+D144</f>
        <v>15</v>
      </c>
      <c r="E145" s="148">
        <f>+E143+E144</f>
        <v>12</v>
      </c>
    </row>
    <row r="146" spans="1:5">
      <c r="A146" s="125"/>
      <c r="B146" s="4" t="s">
        <v>166</v>
      </c>
      <c r="D146" s="113"/>
      <c r="E146" s="146"/>
    </row>
    <row r="147" spans="1:5">
      <c r="A147" s="125"/>
      <c r="B147" s="4" t="s">
        <v>167</v>
      </c>
      <c r="D147" s="113">
        <v>5</v>
      </c>
      <c r="E147" s="146">
        <f>SUM(E105)</f>
        <v>3</v>
      </c>
    </row>
    <row r="148" spans="1:5">
      <c r="A148" s="125"/>
      <c r="B148" s="4" t="s">
        <v>168</v>
      </c>
      <c r="C148" s="126"/>
      <c r="D148" s="149">
        <v>15</v>
      </c>
      <c r="E148" s="150">
        <f>SUM(E112)</f>
        <v>10</v>
      </c>
    </row>
    <row r="149" spans="1:5">
      <c r="A149" s="125"/>
      <c r="D149" s="151">
        <f>SUM(D147:D148)</f>
        <v>20</v>
      </c>
      <c r="E149" s="152">
        <f>SUM(E147:E148)</f>
        <v>13</v>
      </c>
    </row>
    <row r="150" spans="1:5">
      <c r="A150" s="125"/>
      <c r="D150" s="153"/>
      <c r="E150" s="154"/>
    </row>
    <row r="151" spans="1:5" hidden="1">
      <c r="A151" s="125"/>
      <c r="D151" s="153"/>
      <c r="E151" s="154"/>
    </row>
    <row r="152" spans="1:5">
      <c r="A152" s="125"/>
      <c r="B152" s="4" t="s">
        <v>169</v>
      </c>
      <c r="D152" s="151">
        <v>10</v>
      </c>
      <c r="E152" s="152">
        <f>E124</f>
        <v>13</v>
      </c>
    </row>
    <row r="153" spans="1:5">
      <c r="A153" s="125"/>
      <c r="D153" s="113"/>
      <c r="E153" s="146"/>
    </row>
    <row r="154" spans="1:5" ht="13" thickBot="1">
      <c r="A154" s="125"/>
      <c r="B154" s="4" t="s">
        <v>170</v>
      </c>
      <c r="D154" s="155">
        <f>+D136+D141+D145+D149++D151+D152</f>
        <v>100</v>
      </c>
      <c r="E154" s="156">
        <f>+E136+E141+E145+E149++E151+E152</f>
        <v>75</v>
      </c>
    </row>
    <row r="155" spans="1:5" ht="14" thickTop="1" thickBot="1">
      <c r="A155" s="125"/>
      <c r="D155" s="157"/>
      <c r="E155" s="146"/>
    </row>
    <row r="156" spans="1:5" ht="13" thickBot="1">
      <c r="A156" s="132"/>
      <c r="B156" s="139" t="s">
        <v>171</v>
      </c>
      <c r="C156" s="140"/>
      <c r="D156" s="134"/>
      <c r="E156" s="158" t="s">
        <v>184</v>
      </c>
    </row>
    <row r="157" spans="1:5">
      <c r="A157" s="125"/>
      <c r="E157" s="146"/>
    </row>
    <row r="158" spans="1:5">
      <c r="A158" s="159"/>
      <c r="B158" s="160" t="s">
        <v>210</v>
      </c>
      <c r="E158" s="150"/>
    </row>
    <row r="159" spans="1:5" ht="13" thickBot="1">
      <c r="A159" s="161"/>
      <c r="B159" s="162" t="s">
        <v>14</v>
      </c>
      <c r="C159" s="295" t="s">
        <v>172</v>
      </c>
      <c r="D159" s="317" t="s">
        <v>173</v>
      </c>
      <c r="E159" s="291"/>
    </row>
    <row r="160" spans="1:5">
      <c r="A160" s="125"/>
      <c r="B160" s="292" t="s">
        <v>174</v>
      </c>
      <c r="C160" s="296" t="s">
        <v>175</v>
      </c>
      <c r="D160" s="296" t="s">
        <v>176</v>
      </c>
      <c r="E160" s="331" t="s">
        <v>262</v>
      </c>
    </row>
    <row r="161" spans="1:10">
      <c r="A161" s="125"/>
      <c r="B161" s="292" t="s">
        <v>177</v>
      </c>
      <c r="C161" s="297" t="s">
        <v>178</v>
      </c>
      <c r="D161" s="297" t="s">
        <v>179</v>
      </c>
      <c r="E161" s="324"/>
    </row>
    <row r="162" spans="1:10" ht="13" thickBot="1">
      <c r="A162" s="125"/>
      <c r="B162" s="292" t="s">
        <v>180</v>
      </c>
      <c r="C162" s="297" t="s">
        <v>181</v>
      </c>
      <c r="D162" s="297" t="s">
        <v>3</v>
      </c>
      <c r="E162" s="324"/>
    </row>
    <row r="163" spans="1:10">
      <c r="A163" s="125"/>
      <c r="B163" s="292" t="s">
        <v>182</v>
      </c>
      <c r="C163" s="318" t="s">
        <v>183</v>
      </c>
      <c r="D163" s="296" t="s">
        <v>184</v>
      </c>
      <c r="E163" s="332" t="s">
        <v>264</v>
      </c>
    </row>
    <row r="164" spans="1:10">
      <c r="A164" s="125"/>
      <c r="B164" s="292" t="s">
        <v>185</v>
      </c>
      <c r="C164" s="319" t="s">
        <v>186</v>
      </c>
      <c r="D164" s="297" t="s">
        <v>187</v>
      </c>
      <c r="E164" s="333"/>
    </row>
    <row r="165" spans="1:10" ht="13" thickBot="1">
      <c r="A165" s="125"/>
      <c r="B165" s="292" t="s">
        <v>188</v>
      </c>
      <c r="C165" s="320" t="s">
        <v>189</v>
      </c>
      <c r="D165" s="298" t="s">
        <v>190</v>
      </c>
      <c r="E165" s="334"/>
    </row>
    <row r="166" spans="1:10">
      <c r="A166" s="125"/>
      <c r="B166" s="292" t="s">
        <v>191</v>
      </c>
      <c r="C166" s="297" t="s">
        <v>192</v>
      </c>
      <c r="D166" s="292" t="s">
        <v>4</v>
      </c>
      <c r="E166" s="324" t="s">
        <v>265</v>
      </c>
    </row>
    <row r="167" spans="1:10" ht="16" customHeight="1">
      <c r="A167" s="125"/>
      <c r="B167" s="292" t="s">
        <v>193</v>
      </c>
      <c r="C167" s="297" t="s">
        <v>194</v>
      </c>
      <c r="D167" s="292" t="s">
        <v>195</v>
      </c>
      <c r="E167" s="324"/>
    </row>
    <row r="168" spans="1:10" ht="16" customHeight="1">
      <c r="A168" s="125"/>
      <c r="B168" s="292" t="s">
        <v>196</v>
      </c>
      <c r="C168" s="297" t="s">
        <v>197</v>
      </c>
      <c r="D168" s="292" t="s">
        <v>198</v>
      </c>
      <c r="E168" s="324"/>
    </row>
    <row r="169" spans="1:10" ht="16" customHeight="1">
      <c r="A169" s="163"/>
      <c r="B169" s="292" t="s">
        <v>199</v>
      </c>
      <c r="C169" s="297" t="s">
        <v>200</v>
      </c>
      <c r="D169" s="292" t="s">
        <v>201</v>
      </c>
      <c r="E169" s="324"/>
    </row>
    <row r="170" spans="1:10" ht="16" customHeight="1">
      <c r="A170" s="163"/>
      <c r="B170" s="293" t="s">
        <v>202</v>
      </c>
      <c r="C170" s="297" t="s">
        <v>203</v>
      </c>
      <c r="D170" s="292" t="s">
        <v>5</v>
      </c>
      <c r="E170" s="324"/>
    </row>
    <row r="171" spans="1:10" ht="17" customHeight="1" thickBot="1">
      <c r="A171" s="132"/>
      <c r="B171" s="294" t="s">
        <v>204</v>
      </c>
      <c r="C171" s="298" t="s">
        <v>205</v>
      </c>
      <c r="D171" s="164" t="s">
        <v>6</v>
      </c>
      <c r="E171" s="325"/>
    </row>
    <row r="173" spans="1:10" ht="14">
      <c r="B173" s="266" t="s">
        <v>0</v>
      </c>
      <c r="C173" s="266"/>
      <c r="D173" s="266" t="s">
        <v>253</v>
      </c>
      <c r="E173" s="266"/>
      <c r="F173" s="266"/>
      <c r="G173" s="266"/>
      <c r="I173" s="267"/>
      <c r="J173" s="266"/>
    </row>
    <row r="174" spans="1:10" ht="14">
      <c r="B174" s="266" t="s">
        <v>2</v>
      </c>
      <c r="C174" s="266"/>
      <c r="D174" s="266"/>
      <c r="E174" s="266"/>
      <c r="F174" s="266"/>
      <c r="G174" s="266"/>
      <c r="I174" s="267"/>
      <c r="J174" s="266"/>
    </row>
    <row r="175" spans="1:10" ht="14">
      <c r="B175" s="279" t="s">
        <v>280</v>
      </c>
      <c r="C175" s="266"/>
      <c r="D175" s="279" t="s">
        <v>261</v>
      </c>
      <c r="E175" s="266"/>
      <c r="F175" s="266"/>
      <c r="G175" s="266"/>
      <c r="I175" s="266"/>
      <c r="J175" s="266"/>
    </row>
    <row r="176" spans="1:10" ht="14">
      <c r="B176" s="266"/>
      <c r="C176" s="266"/>
      <c r="D176" s="266"/>
      <c r="E176" s="266"/>
      <c r="F176" s="266"/>
      <c r="G176" s="266"/>
      <c r="I176" s="266"/>
      <c r="J176" s="266"/>
    </row>
    <row r="177" spans="2:10" ht="14">
      <c r="B177" s="266"/>
      <c r="C177" s="266"/>
      <c r="D177" s="266"/>
      <c r="E177" s="266"/>
      <c r="F177" s="266"/>
      <c r="G177" s="266"/>
      <c r="I177" s="266"/>
      <c r="J177" s="266"/>
    </row>
    <row r="178" spans="2:10" ht="14">
      <c r="B178" s="266" t="s">
        <v>1</v>
      </c>
      <c r="C178" s="266"/>
      <c r="D178" s="267" t="s">
        <v>272</v>
      </c>
      <c r="E178" s="266"/>
      <c r="F178" s="266"/>
      <c r="G178" s="266"/>
      <c r="I178" s="266"/>
      <c r="J178" s="266"/>
    </row>
    <row r="179" spans="2:10" ht="14">
      <c r="B179" s="266"/>
      <c r="C179" s="266"/>
      <c r="E179" s="266"/>
      <c r="F179" s="266"/>
      <c r="G179" s="266"/>
      <c r="I179" s="266"/>
      <c r="J179" s="266"/>
    </row>
    <row r="180" spans="2:10" ht="14">
      <c r="B180" s="268"/>
      <c r="C180" s="268"/>
      <c r="D180" s="266"/>
      <c r="E180" s="266"/>
      <c r="F180" s="266"/>
      <c r="G180" s="266"/>
      <c r="I180" s="266"/>
      <c r="J180" s="266"/>
    </row>
    <row r="181" spans="2:10" ht="14">
      <c r="B181" s="279" t="s">
        <v>250</v>
      </c>
      <c r="C181" s="266"/>
      <c r="D181" s="279" t="s">
        <v>259</v>
      </c>
      <c r="E181" s="266"/>
      <c r="F181" s="266"/>
      <c r="G181" s="266"/>
      <c r="I181" s="266"/>
      <c r="J181" s="266"/>
    </row>
    <row r="182" spans="2:10" ht="14">
      <c r="B182" s="266"/>
      <c r="C182" s="266"/>
      <c r="D182" s="280"/>
      <c r="E182" s="266"/>
      <c r="F182" s="266"/>
      <c r="G182" s="266"/>
      <c r="I182" s="266"/>
      <c r="J182" s="266"/>
    </row>
    <row r="183" spans="2:10" ht="14">
      <c r="B183" s="266"/>
      <c r="C183" s="266"/>
      <c r="E183" s="266"/>
      <c r="F183" s="266"/>
      <c r="G183" s="266"/>
      <c r="I183" s="266"/>
      <c r="J183" s="266"/>
    </row>
  </sheetData>
  <mergeCells count="6">
    <mergeCell ref="E166:E171"/>
    <mergeCell ref="B53:B54"/>
    <mergeCell ref="D3:E3"/>
    <mergeCell ref="B33:B35"/>
    <mergeCell ref="E160:E162"/>
    <mergeCell ref="E163:E165"/>
  </mergeCells>
  <phoneticPr fontId="28" type="noConversion"/>
  <pageMargins left="0.46" right="0.25" top="0.38" bottom="0.73" header="0.27" footer="0.36"/>
  <pageSetup paperSize="5" scale="90" orientation="portrait" horizontalDpi="4294967293" verticalDpi="300" r:id="rId1"/>
  <headerFooter alignWithMargins="0"/>
  <rowBreaks count="3" manualBreakCount="3">
    <brk id="58" max="4" man="1"/>
    <brk id="99" max="4" man="1"/>
    <brk id="126" max="4"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64"/>
  <sheetViews>
    <sheetView view="pageBreakPreview" topLeftCell="A17" zoomScale="200" zoomScaleNormal="75" zoomScaleSheetLayoutView="75" workbookViewId="0">
      <selection activeCell="A21" sqref="A21"/>
    </sheetView>
  </sheetViews>
  <sheetFormatPr baseColWidth="10" defaultColWidth="8" defaultRowHeight="14"/>
  <cols>
    <col min="1" max="1" width="37.7109375" style="165" customWidth="1"/>
    <col min="2" max="2" width="9.5703125" style="165" customWidth="1"/>
    <col min="3" max="3" width="11" style="165" customWidth="1"/>
    <col min="4" max="4" width="10.42578125" style="165" customWidth="1"/>
    <col min="5" max="5" width="8.7109375" style="165" bestFit="1" customWidth="1"/>
    <col min="6" max="6" width="4.28515625" style="165" customWidth="1"/>
    <col min="7" max="7" width="31.85546875" style="165" customWidth="1"/>
    <col min="8" max="9" width="8.85546875" style="165" customWidth="1"/>
    <col min="10" max="10" width="10.7109375" style="165" customWidth="1"/>
    <col min="11" max="11" width="10.28515625" style="165" customWidth="1"/>
    <col min="12" max="12" width="8" style="165" customWidth="1"/>
    <col min="13" max="13" width="10.5703125" style="165" customWidth="1"/>
    <col min="14" max="15" width="10.7109375" style="165" customWidth="1"/>
    <col min="16" max="16" width="10.42578125" style="165" customWidth="1"/>
    <col min="17" max="17" width="10.7109375" style="165" customWidth="1"/>
    <col min="18" max="18" width="12.85546875" style="165" customWidth="1"/>
    <col min="19" max="24" width="8" style="165" customWidth="1"/>
    <col min="25" max="16384" width="8" style="165"/>
  </cols>
  <sheetData>
    <row r="1" spans="1:18" ht="15" thickBot="1">
      <c r="A1" s="165" t="s">
        <v>211</v>
      </c>
      <c r="B1" s="166" t="s">
        <v>212</v>
      </c>
      <c r="C1" s="167"/>
      <c r="D1" s="166"/>
      <c r="E1" s="168"/>
      <c r="F1" s="168"/>
      <c r="G1" s="169"/>
      <c r="H1" s="169"/>
      <c r="I1" s="169"/>
      <c r="J1" s="290" t="s">
        <v>258</v>
      </c>
      <c r="K1" s="171"/>
      <c r="L1" s="169"/>
    </row>
    <row r="2" spans="1:18" ht="15" thickBot="1">
      <c r="A2" s="321" t="s">
        <v>211</v>
      </c>
      <c r="B2" s="172"/>
      <c r="C2" s="172"/>
      <c r="D2" s="172"/>
      <c r="E2" s="172"/>
      <c r="F2" s="172"/>
      <c r="G2" s="172"/>
      <c r="H2" s="173"/>
      <c r="I2" s="173"/>
      <c r="J2" s="173"/>
      <c r="K2" s="174"/>
      <c r="L2" s="175"/>
    </row>
    <row r="3" spans="1:18" ht="28">
      <c r="A3" s="176"/>
      <c r="B3" s="335" t="s">
        <v>213</v>
      </c>
      <c r="C3" s="338" t="s">
        <v>214</v>
      </c>
      <c r="D3" s="177" t="s">
        <v>215</v>
      </c>
      <c r="E3" s="178"/>
      <c r="F3" s="179"/>
      <c r="G3" s="176"/>
      <c r="H3" s="339" t="s">
        <v>267</v>
      </c>
      <c r="I3" s="335" t="s">
        <v>214</v>
      </c>
      <c r="J3" s="177" t="s">
        <v>216</v>
      </c>
      <c r="K3" s="178"/>
      <c r="L3" s="176"/>
    </row>
    <row r="4" spans="1:18">
      <c r="A4" s="176" t="s">
        <v>217</v>
      </c>
      <c r="B4" s="336"/>
      <c r="C4" s="338"/>
      <c r="D4" s="180" t="s">
        <v>218</v>
      </c>
      <c r="E4" s="178"/>
      <c r="F4" s="181"/>
      <c r="G4" s="299" t="s">
        <v>266</v>
      </c>
      <c r="H4" s="336"/>
      <c r="I4" s="335"/>
      <c r="J4" s="180" t="s">
        <v>218</v>
      </c>
      <c r="K4" s="178"/>
      <c r="L4" s="176"/>
    </row>
    <row r="5" spans="1:18">
      <c r="A5" s="182"/>
      <c r="B5" s="337"/>
      <c r="C5" s="183" t="s">
        <v>219</v>
      </c>
      <c r="D5" s="183" t="s">
        <v>220</v>
      </c>
      <c r="E5" s="184" t="s">
        <v>221</v>
      </c>
      <c r="F5" s="185"/>
      <c r="G5" s="182"/>
      <c r="H5" s="337"/>
      <c r="I5" s="183" t="s">
        <v>219</v>
      </c>
      <c r="J5" s="183" t="s">
        <v>220</v>
      </c>
      <c r="K5" s="184" t="s">
        <v>221</v>
      </c>
      <c r="L5" s="186"/>
    </row>
    <row r="6" spans="1:18">
      <c r="A6" s="187"/>
      <c r="B6" s="188"/>
      <c r="C6" s="188"/>
      <c r="D6" s="188"/>
      <c r="E6" s="189"/>
      <c r="F6" s="190"/>
      <c r="G6" s="187"/>
      <c r="H6" s="188"/>
      <c r="I6" s="188"/>
      <c r="J6" s="188"/>
      <c r="K6" s="189"/>
      <c r="L6" s="187"/>
    </row>
    <row r="7" spans="1:18" ht="28">
      <c r="A7" s="191" t="s">
        <v>273</v>
      </c>
      <c r="B7" s="192">
        <v>100</v>
      </c>
      <c r="C7" s="193"/>
      <c r="D7" s="193"/>
      <c r="E7" s="194">
        <f>C7*D7</f>
        <v>0</v>
      </c>
      <c r="F7" s="190"/>
      <c r="G7" s="302" t="s">
        <v>268</v>
      </c>
      <c r="H7" s="192">
        <v>100</v>
      </c>
      <c r="I7" s="193">
        <v>100</v>
      </c>
      <c r="J7" s="193">
        <v>2</v>
      </c>
      <c r="K7" s="194">
        <f>I7*J7</f>
        <v>200</v>
      </c>
      <c r="L7" s="187"/>
      <c r="O7" s="300"/>
      <c r="P7" s="300"/>
    </row>
    <row r="8" spans="1:18" ht="15">
      <c r="A8" s="195" t="s">
        <v>222</v>
      </c>
      <c r="B8" s="192"/>
      <c r="C8" s="192"/>
      <c r="D8" s="192"/>
      <c r="E8" s="194"/>
      <c r="F8" s="190"/>
      <c r="G8" s="303"/>
      <c r="H8" s="192"/>
      <c r="I8" s="192"/>
      <c r="J8" s="192"/>
      <c r="K8" s="196"/>
      <c r="L8" s="187"/>
      <c r="M8" s="197"/>
      <c r="N8" s="197"/>
      <c r="O8" s="300"/>
      <c r="P8" s="300"/>
    </row>
    <row r="9" spans="1:18" ht="70.5" customHeight="1">
      <c r="A9" s="191" t="s">
        <v>274</v>
      </c>
      <c r="B9" s="192">
        <v>90</v>
      </c>
      <c r="C9" s="193">
        <v>90</v>
      </c>
      <c r="D9" s="269">
        <v>2</v>
      </c>
      <c r="E9" s="194">
        <f>C9*D9</f>
        <v>180</v>
      </c>
      <c r="F9" s="190"/>
      <c r="G9" s="301" t="s">
        <v>271</v>
      </c>
      <c r="H9" s="192">
        <v>80</v>
      </c>
      <c r="I9" s="193"/>
      <c r="J9" s="199"/>
      <c r="K9" s="194">
        <f>I9*J9</f>
        <v>0</v>
      </c>
      <c r="L9" s="348"/>
      <c r="M9" s="347"/>
      <c r="N9" s="347"/>
      <c r="O9" s="300"/>
      <c r="P9" s="300"/>
    </row>
    <row r="10" spans="1:18" ht="15">
      <c r="A10" s="195"/>
      <c r="B10" s="192"/>
      <c r="C10" s="192"/>
      <c r="D10" s="270"/>
      <c r="E10" s="194"/>
      <c r="F10" s="190"/>
      <c r="G10" s="303"/>
      <c r="H10" s="192"/>
      <c r="I10" s="192"/>
      <c r="J10" s="201"/>
      <c r="K10" s="196"/>
      <c r="L10" s="202"/>
      <c r="M10" s="203"/>
      <c r="N10" s="200"/>
      <c r="O10" s="300"/>
      <c r="P10" s="300"/>
    </row>
    <row r="11" spans="1:18" ht="40.5" customHeight="1">
      <c r="A11" s="191" t="s">
        <v>275</v>
      </c>
      <c r="B11" s="192">
        <v>80</v>
      </c>
      <c r="C11" s="193"/>
      <c r="D11" s="271"/>
      <c r="E11" s="194">
        <f>C11*D11</f>
        <v>0</v>
      </c>
      <c r="F11" s="190"/>
      <c r="G11" s="302" t="s">
        <v>269</v>
      </c>
      <c r="H11" s="192">
        <v>40</v>
      </c>
      <c r="I11" s="193"/>
      <c r="J11" s="199"/>
      <c r="K11" s="194">
        <f>I11*J11</f>
        <v>0</v>
      </c>
      <c r="L11" s="340"/>
      <c r="M11" s="341"/>
      <c r="N11" s="341"/>
      <c r="O11" s="300"/>
      <c r="P11" s="300"/>
    </row>
    <row r="12" spans="1:18" ht="15.75" customHeight="1">
      <c r="A12" s="191"/>
      <c r="B12" s="192"/>
      <c r="C12" s="192"/>
      <c r="D12" s="270"/>
      <c r="E12" s="194"/>
      <c r="F12" s="190"/>
      <c r="G12" s="302"/>
      <c r="H12" s="192"/>
      <c r="I12" s="192"/>
      <c r="J12" s="201"/>
      <c r="K12" s="194"/>
      <c r="L12" s="202"/>
      <c r="M12" s="203"/>
      <c r="N12" s="200"/>
      <c r="O12" s="300"/>
      <c r="P12" s="300"/>
    </row>
    <row r="13" spans="1:18" ht="75.75" customHeight="1">
      <c r="A13" s="191" t="s">
        <v>276</v>
      </c>
      <c r="B13" s="192">
        <v>50</v>
      </c>
      <c r="C13" s="193"/>
      <c r="D13" s="269"/>
      <c r="E13" s="194">
        <f>C13*D13</f>
        <v>0</v>
      </c>
      <c r="F13" s="190"/>
      <c r="G13" s="302" t="s">
        <v>270</v>
      </c>
      <c r="H13" s="192">
        <v>0</v>
      </c>
      <c r="I13" s="193"/>
      <c r="J13" s="204"/>
      <c r="K13" s="194">
        <f>I13*J13</f>
        <v>0</v>
      </c>
      <c r="L13" s="202"/>
      <c r="M13" s="205"/>
      <c r="N13" s="206"/>
      <c r="O13" s="300"/>
      <c r="P13" s="300"/>
      <c r="Q13" s="207"/>
    </row>
    <row r="14" spans="1:18" ht="18" customHeight="1">
      <c r="A14" s="191"/>
      <c r="B14" s="192"/>
      <c r="C14" s="192"/>
      <c r="D14" s="192"/>
      <c r="E14" s="208"/>
      <c r="F14" s="190"/>
      <c r="G14" s="191"/>
      <c r="H14" s="192"/>
      <c r="I14" s="192"/>
      <c r="J14" s="201"/>
      <c r="K14" s="194"/>
      <c r="L14" s="202"/>
      <c r="M14" s="209"/>
      <c r="N14" s="209"/>
      <c r="O14" s="300"/>
      <c r="P14" s="300"/>
      <c r="R14" s="210"/>
    </row>
    <row r="15" spans="1:18" ht="17">
      <c r="A15" s="191" t="s">
        <v>277</v>
      </c>
      <c r="B15" s="192">
        <v>30</v>
      </c>
      <c r="C15" s="193"/>
      <c r="D15" s="204"/>
      <c r="E15" s="194">
        <f>C15*D15</f>
        <v>0</v>
      </c>
      <c r="F15" s="190"/>
      <c r="G15" s="191"/>
      <c r="H15" s="192"/>
      <c r="I15" s="304"/>
      <c r="J15" s="305"/>
      <c r="K15" s="194">
        <f>I15*J15</f>
        <v>0</v>
      </c>
      <c r="L15" s="202"/>
      <c r="M15" s="209"/>
      <c r="N15" s="200"/>
      <c r="O15" s="210"/>
      <c r="P15" s="211"/>
      <c r="Q15" s="212"/>
    </row>
    <row r="16" spans="1:18">
      <c r="A16" s="195" t="s">
        <v>223</v>
      </c>
      <c r="B16" s="192"/>
      <c r="C16" s="192"/>
      <c r="D16" s="192"/>
      <c r="E16" s="194"/>
      <c r="F16" s="190"/>
      <c r="G16" s="195" t="s">
        <v>223</v>
      </c>
      <c r="H16" s="192"/>
      <c r="I16" s="304"/>
      <c r="J16" s="305"/>
      <c r="K16" s="196"/>
      <c r="L16" s="213"/>
      <c r="M16" s="214"/>
      <c r="P16" s="215"/>
    </row>
    <row r="17" spans="1:17" ht="28">
      <c r="A17" s="191" t="s">
        <v>278</v>
      </c>
      <c r="B17" s="192">
        <v>20</v>
      </c>
      <c r="C17" s="193"/>
      <c r="D17" s="198"/>
      <c r="E17" s="194">
        <f>C17*D17</f>
        <v>0</v>
      </c>
      <c r="F17" s="190"/>
      <c r="G17" s="191"/>
      <c r="H17" s="192"/>
      <c r="I17" s="304"/>
      <c r="J17" s="305"/>
      <c r="K17" s="194">
        <f>I17*J17</f>
        <v>0</v>
      </c>
      <c r="L17" s="213"/>
      <c r="M17" s="214"/>
      <c r="N17" s="216"/>
      <c r="Q17" s="212"/>
    </row>
    <row r="18" spans="1:17" ht="17">
      <c r="A18" s="195" t="s">
        <v>7</v>
      </c>
      <c r="B18" s="192"/>
      <c r="C18" s="192"/>
      <c r="D18" s="192"/>
      <c r="E18" s="194"/>
      <c r="F18" s="190"/>
      <c r="G18" s="195" t="s">
        <v>222</v>
      </c>
      <c r="H18" s="192"/>
      <c r="I18" s="304"/>
      <c r="J18" s="305"/>
      <c r="K18" s="196"/>
      <c r="L18" s="213"/>
      <c r="M18" s="214"/>
      <c r="N18" s="217"/>
    </row>
    <row r="19" spans="1:17" ht="28">
      <c r="A19" s="191" t="s">
        <v>279</v>
      </c>
      <c r="B19" s="192">
        <v>0</v>
      </c>
      <c r="C19" s="193"/>
      <c r="D19" s="193"/>
      <c r="E19" s="194">
        <f>C19*D19</f>
        <v>0</v>
      </c>
      <c r="F19" s="190"/>
      <c r="G19" s="191"/>
      <c r="H19" s="192"/>
      <c r="I19" s="304"/>
      <c r="J19" s="305"/>
      <c r="K19" s="194">
        <f>I19*J19</f>
        <v>0</v>
      </c>
      <c r="L19" s="213"/>
      <c r="M19" s="214"/>
      <c r="N19" s="216"/>
      <c r="Q19" s="212"/>
    </row>
    <row r="20" spans="1:17">
      <c r="A20" s="195" t="s">
        <v>7</v>
      </c>
      <c r="B20" s="188"/>
      <c r="C20" s="188"/>
      <c r="D20" s="188"/>
      <c r="E20" s="218"/>
      <c r="F20" s="190"/>
      <c r="G20" s="195"/>
      <c r="H20" s="192"/>
      <c r="I20" s="304"/>
      <c r="J20" s="305"/>
      <c r="K20" s="196">
        <f>I20*J20</f>
        <v>0</v>
      </c>
      <c r="L20" s="213"/>
      <c r="M20" s="214"/>
    </row>
    <row r="21" spans="1:17">
      <c r="A21" s="195"/>
      <c r="B21" s="188"/>
      <c r="C21" s="188"/>
      <c r="D21" s="188"/>
      <c r="E21" s="218"/>
      <c r="F21" s="190"/>
      <c r="G21" s="195"/>
      <c r="H21" s="192"/>
      <c r="I21" s="304"/>
      <c r="J21" s="305"/>
      <c r="K21" s="194">
        <f>I21*J21</f>
        <v>0</v>
      </c>
      <c r="L21" s="187"/>
    </row>
    <row r="22" spans="1:17">
      <c r="A22" s="195"/>
      <c r="B22" s="192"/>
      <c r="C22" s="192"/>
      <c r="D22" s="192"/>
      <c r="E22" s="218"/>
      <c r="F22" s="190"/>
      <c r="G22" s="195"/>
      <c r="H22" s="192"/>
      <c r="I22" s="304"/>
      <c r="J22" s="305"/>
      <c r="K22" s="196">
        <f>I22*J22</f>
        <v>0</v>
      </c>
      <c r="L22" s="187"/>
    </row>
    <row r="23" spans="1:17">
      <c r="A23" s="195"/>
      <c r="B23" s="192"/>
      <c r="C23" s="192"/>
      <c r="D23" s="192"/>
      <c r="E23" s="218"/>
      <c r="F23" s="190"/>
      <c r="G23" s="195"/>
      <c r="H23" s="192"/>
      <c r="I23" s="304"/>
      <c r="J23" s="306"/>
      <c r="K23" s="194">
        <f>I23*J23</f>
        <v>0</v>
      </c>
      <c r="L23" s="187"/>
    </row>
    <row r="24" spans="1:17">
      <c r="A24" s="195"/>
      <c r="B24" s="188"/>
      <c r="C24" s="188"/>
      <c r="D24" s="188"/>
      <c r="E24" s="218"/>
      <c r="F24" s="190"/>
      <c r="G24" s="195" t="s">
        <v>223</v>
      </c>
      <c r="H24" s="192"/>
      <c r="I24" s="304"/>
      <c r="J24" s="305"/>
      <c r="K24" s="196"/>
      <c r="L24" s="187"/>
    </row>
    <row r="25" spans="1:17">
      <c r="A25" s="187"/>
      <c r="B25" s="188"/>
      <c r="C25" s="188"/>
      <c r="D25" s="188"/>
      <c r="E25" s="218"/>
      <c r="F25" s="190"/>
      <c r="G25" s="195"/>
      <c r="H25" s="192"/>
      <c r="I25" s="304"/>
      <c r="J25" s="307"/>
      <c r="K25" s="194">
        <f>I25*J25</f>
        <v>0</v>
      </c>
      <c r="L25" s="187"/>
    </row>
    <row r="26" spans="1:17">
      <c r="A26" s="187"/>
      <c r="B26" s="188"/>
      <c r="C26" s="188"/>
      <c r="D26" s="188"/>
      <c r="E26" s="218"/>
      <c r="F26" s="190"/>
      <c r="G26" s="219"/>
      <c r="H26" s="220"/>
      <c r="I26" s="192"/>
      <c r="J26" s="272"/>
      <c r="K26" s="196"/>
      <c r="L26" s="187"/>
    </row>
    <row r="27" spans="1:17">
      <c r="A27" s="187"/>
      <c r="B27" s="188"/>
      <c r="C27" s="188"/>
      <c r="D27" s="188"/>
      <c r="E27" s="218"/>
      <c r="F27" s="190"/>
      <c r="G27" s="187"/>
      <c r="H27" s="188"/>
      <c r="I27" s="192"/>
      <c r="J27" s="272"/>
      <c r="K27" s="196"/>
      <c r="L27" s="187"/>
    </row>
    <row r="28" spans="1:17">
      <c r="A28" s="221"/>
      <c r="B28" s="222"/>
      <c r="C28" s="222"/>
      <c r="D28" s="222"/>
      <c r="E28" s="218"/>
      <c r="F28" s="190"/>
      <c r="G28" s="221"/>
      <c r="H28" s="222"/>
      <c r="I28" s="222"/>
      <c r="J28" s="273"/>
      <c r="K28" s="223"/>
      <c r="L28" s="187"/>
    </row>
    <row r="29" spans="1:17" ht="15" thickBot="1">
      <c r="A29" s="224" t="s">
        <v>242</v>
      </c>
      <c r="B29" s="225"/>
      <c r="C29" s="226"/>
      <c r="D29" s="275">
        <f>SUM(D7:D28)</f>
        <v>2</v>
      </c>
      <c r="E29" s="227">
        <f>SUM(E7:E28)</f>
        <v>180</v>
      </c>
      <c r="F29" s="190"/>
      <c r="G29" s="228" t="s">
        <v>224</v>
      </c>
      <c r="H29" s="225"/>
      <c r="I29" s="226"/>
      <c r="J29" s="274">
        <f>SUM(J7:J28)</f>
        <v>2</v>
      </c>
      <c r="K29" s="227">
        <f>SUM(K7:K28)</f>
        <v>200</v>
      </c>
      <c r="L29" s="187"/>
    </row>
    <row r="30" spans="1:17" ht="15" thickBot="1">
      <c r="A30" s="229" t="s">
        <v>225</v>
      </c>
      <c r="B30" s="230"/>
      <c r="C30" s="231"/>
      <c r="D30" s="232">
        <f>E29/D29</f>
        <v>90</v>
      </c>
      <c r="E30" s="233"/>
      <c r="F30" s="234"/>
      <c r="G30" s="229" t="s">
        <v>226</v>
      </c>
      <c r="H30" s="230"/>
      <c r="I30" s="231"/>
      <c r="J30" s="342">
        <f>K29/J29</f>
        <v>100</v>
      </c>
      <c r="K30" s="343"/>
      <c r="L30" s="235"/>
    </row>
    <row r="31" spans="1:17" ht="15" thickBot="1">
      <c r="A31" s="236"/>
      <c r="B31" s="235"/>
      <c r="C31" s="235"/>
      <c r="D31" s="237"/>
      <c r="E31" s="237"/>
      <c r="F31" s="235"/>
      <c r="G31" s="236"/>
      <c r="H31" s="235"/>
      <c r="I31" s="235"/>
      <c r="J31" s="237"/>
      <c r="K31" s="237"/>
      <c r="L31" s="235"/>
    </row>
    <row r="32" spans="1:17" ht="15" thickBot="1">
      <c r="A32" s="169"/>
      <c r="B32" s="238" t="s">
        <v>227</v>
      </c>
      <c r="C32" s="239"/>
      <c r="D32" s="239"/>
      <c r="E32" s="240"/>
      <c r="F32" s="169"/>
      <c r="G32" s="241" t="s">
        <v>228</v>
      </c>
      <c r="H32" s="169"/>
      <c r="I32" s="169"/>
      <c r="J32" s="169"/>
      <c r="K32" s="242"/>
      <c r="L32" s="235"/>
    </row>
    <row r="33" spans="1:16" ht="29" thickBot="1">
      <c r="A33" s="169"/>
      <c r="B33" s="243" t="s">
        <v>229</v>
      </c>
      <c r="C33" s="244" t="s">
        <v>230</v>
      </c>
      <c r="D33" s="245" t="s">
        <v>231</v>
      </c>
      <c r="E33" s="245"/>
      <c r="F33" s="169"/>
      <c r="G33" s="235" t="s">
        <v>232</v>
      </c>
      <c r="H33" s="169"/>
      <c r="I33" s="169"/>
      <c r="J33" s="169"/>
      <c r="K33" s="235"/>
      <c r="L33" s="235"/>
    </row>
    <row r="34" spans="1:16" ht="16" customHeight="1">
      <c r="A34" s="169"/>
      <c r="B34" s="246" t="s">
        <v>233</v>
      </c>
      <c r="C34" s="247">
        <v>1</v>
      </c>
      <c r="D34" s="355" t="s">
        <v>234</v>
      </c>
      <c r="E34" s="356"/>
      <c r="F34" s="248"/>
      <c r="G34" s="235"/>
      <c r="H34" s="169"/>
      <c r="I34" s="169"/>
      <c r="J34" s="169"/>
      <c r="K34" s="169"/>
      <c r="L34" s="235"/>
    </row>
    <row r="35" spans="1:16" ht="15" thickBot="1">
      <c r="A35" s="169"/>
      <c r="B35" s="249" t="s">
        <v>180</v>
      </c>
      <c r="C35" s="250">
        <v>2</v>
      </c>
      <c r="D35" s="357"/>
      <c r="E35" s="358"/>
      <c r="F35" s="169"/>
      <c r="G35" s="235" t="s">
        <v>235</v>
      </c>
      <c r="H35" s="169"/>
      <c r="I35" s="169"/>
      <c r="J35" s="169"/>
      <c r="K35" s="169"/>
      <c r="L35" s="169"/>
    </row>
    <row r="36" spans="1:16">
      <c r="A36" s="169"/>
      <c r="B36" s="249" t="s">
        <v>182</v>
      </c>
      <c r="C36" s="250">
        <v>3</v>
      </c>
      <c r="D36" s="353" t="s">
        <v>238</v>
      </c>
      <c r="E36" s="354"/>
      <c r="F36" s="169"/>
      <c r="G36" s="235" t="s">
        <v>236</v>
      </c>
      <c r="H36" s="169"/>
      <c r="I36" s="169"/>
      <c r="J36" s="169"/>
      <c r="K36" s="169"/>
      <c r="L36" s="169"/>
    </row>
    <row r="37" spans="1:16">
      <c r="A37" s="169"/>
      <c r="B37" s="249" t="s">
        <v>185</v>
      </c>
      <c r="C37" s="250">
        <v>4</v>
      </c>
      <c r="D37" s="353"/>
      <c r="E37" s="354"/>
      <c r="F37" s="169"/>
      <c r="G37" s="235" t="s">
        <v>237</v>
      </c>
      <c r="H37" s="169"/>
      <c r="I37" s="169"/>
      <c r="J37" s="169"/>
      <c r="K37" s="169"/>
      <c r="L37" s="169"/>
    </row>
    <row r="38" spans="1:16" ht="15" thickBot="1">
      <c r="A38" s="169"/>
      <c r="B38" s="249" t="s">
        <v>188</v>
      </c>
      <c r="C38" s="250">
        <v>5</v>
      </c>
      <c r="D38" s="353"/>
      <c r="E38" s="354"/>
      <c r="F38" s="169"/>
      <c r="G38" s="235"/>
      <c r="H38" s="169"/>
      <c r="I38" s="169"/>
      <c r="J38" s="169"/>
      <c r="K38" s="169"/>
      <c r="L38" s="169"/>
    </row>
    <row r="39" spans="1:16" ht="17" customHeight="1" thickBot="1">
      <c r="A39" s="169"/>
      <c r="B39" s="249" t="s">
        <v>243</v>
      </c>
      <c r="C39" s="250">
        <v>6</v>
      </c>
      <c r="D39" s="349" t="s">
        <v>263</v>
      </c>
      <c r="E39" s="350"/>
      <c r="F39" s="169"/>
      <c r="G39" s="169"/>
      <c r="H39" s="251" t="s">
        <v>239</v>
      </c>
      <c r="I39" s="171"/>
      <c r="J39" s="233">
        <f>((J30+D30)/2)</f>
        <v>95</v>
      </c>
      <c r="K39" s="252"/>
      <c r="L39" s="169"/>
    </row>
    <row r="40" spans="1:16" ht="17" customHeight="1" thickBot="1">
      <c r="A40" s="169"/>
      <c r="B40" s="253" t="s">
        <v>240</v>
      </c>
      <c r="C40" s="254">
        <v>7</v>
      </c>
      <c r="D40" s="351"/>
      <c r="E40" s="352"/>
      <c r="F40" s="169"/>
      <c r="G40" s="169"/>
      <c r="H40" s="170" t="s">
        <v>244</v>
      </c>
      <c r="I40" s="255"/>
      <c r="J40" s="171"/>
      <c r="K40" s="256">
        <v>1</v>
      </c>
      <c r="L40" s="169"/>
    </row>
    <row r="41" spans="1:16" ht="15" thickBot="1">
      <c r="A41" s="169"/>
      <c r="B41" s="257"/>
      <c r="C41" s="258"/>
      <c r="D41" s="169"/>
      <c r="E41" s="169"/>
      <c r="F41" s="169"/>
      <c r="G41" s="169"/>
      <c r="H41" s="235"/>
      <c r="I41" s="235"/>
      <c r="J41" s="259"/>
      <c r="K41" s="260"/>
      <c r="L41" s="169"/>
    </row>
    <row r="42" spans="1:16" ht="15" thickBot="1">
      <c r="B42" s="261"/>
      <c r="C42" s="258"/>
      <c r="D42" s="169"/>
      <c r="E42" s="169"/>
      <c r="F42" s="169"/>
      <c r="G42" s="169"/>
      <c r="H42" s="170" t="s">
        <v>241</v>
      </c>
      <c r="I42" s="344">
        <f>BRR!E126</f>
        <v>75</v>
      </c>
      <c r="J42" s="345"/>
      <c r="K42" s="289" t="s">
        <v>257</v>
      </c>
      <c r="L42" s="169"/>
    </row>
    <row r="43" spans="1:16">
      <c r="A43" s="262"/>
      <c r="B43" s="235"/>
      <c r="C43" s="258"/>
      <c r="D43" s="169"/>
      <c r="E43" s="169"/>
      <c r="F43" s="169"/>
      <c r="G43" s="169"/>
      <c r="H43" s="236"/>
      <c r="I43" s="263"/>
      <c r="J43" s="169"/>
      <c r="K43" s="248"/>
      <c r="L43" s="169"/>
    </row>
    <row r="44" spans="1:16" ht="15.75" customHeight="1">
      <c r="A44" s="262"/>
      <c r="B44" s="235"/>
      <c r="C44" s="258"/>
      <c r="D44" s="169"/>
      <c r="E44" s="169"/>
      <c r="F44" s="169"/>
      <c r="G44" s="169"/>
      <c r="H44" s="236"/>
      <c r="I44" s="263"/>
      <c r="J44" s="169"/>
      <c r="K44" s="248"/>
      <c r="L44" s="169"/>
    </row>
    <row r="45" spans="1:16" ht="15.75" customHeight="1">
      <c r="A45" s="262"/>
      <c r="B45" s="235"/>
      <c r="C45" s="258"/>
      <c r="D45" s="169"/>
      <c r="E45" s="266" t="s">
        <v>0</v>
      </c>
      <c r="F45" s="266"/>
      <c r="H45" s="266"/>
      <c r="I45" s="266" t="s">
        <v>253</v>
      </c>
      <c r="J45" s="169"/>
      <c r="K45" s="248"/>
      <c r="L45" s="169"/>
    </row>
    <row r="46" spans="1:16" ht="15.75" customHeight="1">
      <c r="A46" s="262"/>
      <c r="B46" s="235"/>
      <c r="C46" s="258"/>
      <c r="D46" s="169"/>
      <c r="E46" s="266" t="s">
        <v>2</v>
      </c>
      <c r="F46" s="266"/>
      <c r="H46" s="266"/>
      <c r="I46" s="266"/>
      <c r="J46" s="169"/>
      <c r="K46" s="248"/>
      <c r="L46" s="169"/>
    </row>
    <row r="47" spans="1:16" ht="15.75" customHeight="1">
      <c r="A47" s="262"/>
      <c r="B47" s="235"/>
      <c r="C47" s="258"/>
      <c r="D47" s="169"/>
      <c r="E47" s="279" t="s">
        <v>260</v>
      </c>
      <c r="F47" s="266"/>
      <c r="H47" s="266"/>
      <c r="I47" s="279" t="s">
        <v>261</v>
      </c>
      <c r="J47" s="169"/>
      <c r="K47" s="248"/>
      <c r="L47" s="169"/>
    </row>
    <row r="48" spans="1:16">
      <c r="A48" s="262"/>
      <c r="B48" s="308"/>
      <c r="C48" s="308"/>
      <c r="D48" s="308"/>
      <c r="E48" s="266"/>
      <c r="F48" s="266"/>
      <c r="H48" s="266"/>
      <c r="I48" s="266"/>
      <c r="J48" s="308"/>
      <c r="P48" s="264"/>
    </row>
    <row r="49" spans="1:16" ht="18">
      <c r="A49" s="262"/>
      <c r="B49" s="309"/>
      <c r="C49" s="310"/>
      <c r="D49" s="310"/>
      <c r="E49" s="266"/>
      <c r="F49" s="266"/>
      <c r="H49" s="266"/>
      <c r="I49" s="266"/>
      <c r="J49" s="311"/>
      <c r="K49" s="265"/>
    </row>
    <row r="50" spans="1:16" ht="18">
      <c r="A50" s="262"/>
      <c r="B50" s="309"/>
      <c r="C50" s="310"/>
      <c r="D50" s="310"/>
      <c r="E50" s="266" t="s">
        <v>1</v>
      </c>
      <c r="F50" s="266"/>
      <c r="H50" s="266"/>
      <c r="I50" s="267" t="s">
        <v>272</v>
      </c>
      <c r="J50" s="311"/>
      <c r="K50" s="265"/>
    </row>
    <row r="51" spans="1:16" ht="18">
      <c r="A51" s="262"/>
      <c r="B51" s="309"/>
      <c r="C51" s="310"/>
      <c r="D51" s="310"/>
      <c r="E51" s="266"/>
      <c r="F51" s="266"/>
      <c r="H51" s="266"/>
      <c r="I51" s="4"/>
      <c r="J51" s="311"/>
      <c r="K51" s="265"/>
    </row>
    <row r="52" spans="1:16" ht="18">
      <c r="A52" s="262"/>
      <c r="B52" s="313"/>
      <c r="C52" s="310"/>
      <c r="D52" s="310"/>
      <c r="E52" s="268"/>
      <c r="F52" s="268"/>
      <c r="H52" s="266"/>
      <c r="I52" s="266"/>
      <c r="J52" s="311"/>
      <c r="K52" s="265"/>
    </row>
    <row r="53" spans="1:16" ht="18">
      <c r="A53" s="262"/>
      <c r="B53" s="313"/>
      <c r="C53" s="310"/>
      <c r="D53" s="310"/>
      <c r="E53" s="279" t="s">
        <v>250</v>
      </c>
      <c r="F53" s="266"/>
      <c r="H53" s="266"/>
      <c r="I53" s="279" t="s">
        <v>259</v>
      </c>
      <c r="J53" s="311"/>
      <c r="K53" s="265"/>
    </row>
    <row r="54" spans="1:16" ht="18">
      <c r="A54" s="262"/>
      <c r="B54" s="313"/>
      <c r="C54" s="310"/>
      <c r="D54" s="310"/>
      <c r="E54" s="266"/>
      <c r="F54" s="266"/>
      <c r="G54" s="280"/>
      <c r="H54" s="266"/>
      <c r="I54" s="312"/>
      <c r="J54" s="311"/>
      <c r="K54" s="265"/>
    </row>
    <row r="55" spans="1:16" ht="17">
      <c r="A55" s="262"/>
      <c r="B55" s="264"/>
      <c r="C55" s="314"/>
      <c r="D55" s="314"/>
      <c r="E55" s="315"/>
      <c r="F55" s="315"/>
      <c r="G55" s="316"/>
      <c r="H55" s="314"/>
      <c r="I55" s="314"/>
      <c r="J55" s="264"/>
      <c r="P55" s="264"/>
    </row>
    <row r="56" spans="1:16">
      <c r="A56" s="262"/>
      <c r="B56" s="235"/>
      <c r="C56" s="258"/>
      <c r="D56" s="169"/>
      <c r="E56" s="169"/>
      <c r="F56" s="169"/>
      <c r="G56" s="169"/>
      <c r="H56" s="236"/>
      <c r="I56" s="263"/>
      <c r="J56" s="169"/>
      <c r="K56" s="248"/>
      <c r="L56" s="169"/>
    </row>
    <row r="57" spans="1:16" ht="25.5" customHeight="1">
      <c r="A57" s="262"/>
      <c r="B57" s="235"/>
      <c r="C57" s="347"/>
      <c r="D57" s="347"/>
      <c r="E57" s="347"/>
      <c r="F57" s="347"/>
      <c r="G57" s="347"/>
      <c r="H57" s="347"/>
      <c r="I57" s="263"/>
      <c r="J57" s="169"/>
      <c r="K57" s="248"/>
      <c r="L57" s="169"/>
    </row>
    <row r="58" spans="1:16" ht="15" customHeight="1">
      <c r="A58" s="262"/>
      <c r="B58" s="235"/>
      <c r="C58" s="346"/>
      <c r="D58" s="346"/>
      <c r="E58" s="346"/>
      <c r="F58" s="346"/>
      <c r="G58" s="346"/>
      <c r="H58" s="346"/>
      <c r="I58" s="263"/>
      <c r="J58" s="169"/>
      <c r="K58" s="248"/>
      <c r="L58" s="169"/>
    </row>
    <row r="59" spans="1:16" ht="24.75" customHeight="1">
      <c r="A59" s="235"/>
      <c r="B59" s="235"/>
      <c r="C59" s="258"/>
      <c r="D59" s="169"/>
      <c r="E59" s="169"/>
      <c r="F59" s="169"/>
      <c r="G59" s="169"/>
      <c r="H59" s="236"/>
      <c r="I59" s="263"/>
      <c r="J59" s="169"/>
      <c r="K59" s="248"/>
      <c r="L59" s="169"/>
    </row>
    <row r="60" spans="1:16">
      <c r="A60" s="235"/>
      <c r="B60" s="235"/>
      <c r="D60" s="169"/>
      <c r="F60" s="169"/>
      <c r="G60" s="169"/>
      <c r="H60" s="236"/>
      <c r="I60" s="263"/>
      <c r="J60" s="169"/>
      <c r="K60" s="248"/>
      <c r="L60" s="169"/>
    </row>
    <row r="61" spans="1:16">
      <c r="A61" s="235"/>
      <c r="B61" s="235"/>
      <c r="C61" s="258"/>
      <c r="D61" s="169"/>
      <c r="E61" s="169"/>
      <c r="F61" s="169"/>
      <c r="G61" s="169"/>
      <c r="H61" s="236"/>
      <c r="I61" s="263"/>
      <c r="J61" s="169"/>
      <c r="K61" s="248"/>
      <c r="L61" s="169"/>
    </row>
    <row r="62" spans="1:16">
      <c r="B62" s="235"/>
      <c r="C62" s="258"/>
      <c r="D62" s="169"/>
      <c r="E62" s="169"/>
      <c r="F62" s="169"/>
      <c r="G62" s="169"/>
      <c r="H62" s="169"/>
      <c r="I62" s="169"/>
      <c r="J62" s="169"/>
      <c r="K62" s="169"/>
      <c r="L62" s="169"/>
    </row>
    <row r="63" spans="1:16">
      <c r="B63" s="235"/>
      <c r="C63" s="169"/>
      <c r="D63" s="169"/>
      <c r="E63" s="169"/>
      <c r="F63" s="169"/>
      <c r="G63" s="169"/>
      <c r="H63" s="169"/>
      <c r="I63" s="169"/>
      <c r="J63" s="169"/>
      <c r="K63" s="169"/>
      <c r="L63" s="169"/>
    </row>
    <row r="64" spans="1:16">
      <c r="A64" s="235"/>
      <c r="B64" s="235"/>
    </row>
  </sheetData>
  <mergeCells count="13">
    <mergeCell ref="J30:K30"/>
    <mergeCell ref="I42:J42"/>
    <mergeCell ref="C58:H58"/>
    <mergeCell ref="C57:H57"/>
    <mergeCell ref="L9:N9"/>
    <mergeCell ref="D39:E40"/>
    <mergeCell ref="D36:E38"/>
    <mergeCell ref="D34:E35"/>
    <mergeCell ref="B3:B5"/>
    <mergeCell ref="C3:C4"/>
    <mergeCell ref="H3:H5"/>
    <mergeCell ref="I3:I4"/>
    <mergeCell ref="L11:N11"/>
  </mergeCells>
  <phoneticPr fontId="28" type="noConversion"/>
  <printOptions horizontalCentered="1"/>
  <pageMargins left="0.7" right="0.7" top="0.23" bottom="0.31" header="0.2" footer="0.3"/>
  <pageSetup scale="64" orientation="landscape" verticalDpi="300" r:id="rId1"/>
  <headerFooter alignWithMargins="0"/>
  <rowBreaks count="1" manualBreakCount="1">
    <brk id="43" max="10"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BRR</vt:lpstr>
      <vt:lpstr>LER</vt:lpstr>
      <vt:lpstr>BRR!BRR</vt:lpstr>
      <vt:lpstr>LER!LER</vt:lpstr>
      <vt:lpstr>BRR!Print_Area</vt:lpstr>
      <vt:lpstr>LER!Print_Area</vt:lpstr>
      <vt:lpstr>BRR!Print_Titles</vt:lpstr>
      <vt:lpstr>BRR!SCORE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map1124</dc:creator>
  <cp:lastModifiedBy>Jin Velo</cp:lastModifiedBy>
  <cp:lastPrinted>2019-08-19T02:06:16Z</cp:lastPrinted>
  <dcterms:created xsi:type="dcterms:W3CDTF">1998-04-17T08:44:08Z</dcterms:created>
  <dcterms:modified xsi:type="dcterms:W3CDTF">2026-03-27T10:54:41Z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210020747</vt:i4>
  </property>
  <property fmtid="{D5CDD505-2E9C-101B-9397-08002B2CF9AE}" pid="3" name="_NewReviewCycle">
    <vt:lpwstr/>
  </property>
  <property fmtid="{D5CDD505-2E9C-101B-9397-08002B2CF9AE}" pid="4" name="_EmailSubject">
    <vt:lpwstr>sadguru</vt:lpwstr>
  </property>
  <property fmtid="{D5CDD505-2E9C-101B-9397-08002B2CF9AE}" pid="5" name="_AuthorEmail">
    <vt:lpwstr>gbvelo@veteransbank.com.ph</vt:lpwstr>
  </property>
  <property fmtid="{D5CDD505-2E9C-101B-9397-08002B2CF9AE}" pid="6" name="_AuthorEmailDisplayName">
    <vt:lpwstr>Giovanni B Velo</vt:lpwstr>
  </property>
  <property fmtid="{D5CDD505-2E9C-101B-9397-08002B2CF9AE}" pid="7" name="_PreviousAdHocReviewCycleID">
    <vt:i4>-814574632</vt:i4>
  </property>
</Properties>
</file>